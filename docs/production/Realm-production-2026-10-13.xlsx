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830439a50a40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3ba83cf42f084380"/>
    <x:sheet xmlns:r="http://schemas.openxmlformats.org/officeDocument/2006/relationships" name="Assets" sheetId="2" r:id="R1d68e4be90014be9"/>
    <x:sheet xmlns:r="http://schemas.openxmlformats.org/officeDocument/2006/relationships" name="Mechanics" sheetId="3" r:id="Rbfedc4d5c63245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4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12446e7c514c97" /><Relationship Type="http://schemas.openxmlformats.org/officeDocument/2006/relationships/theme" Target="/xl/theme/theme1.xml" Id="Rdaf546fb1d854529" /><Relationship Type="http://schemas.openxmlformats.org/officeDocument/2006/relationships/sharedStrings" Target="/xl/sharedStrings.xml" Id="R1ec1ca7cec0c47cd" /><Relationship Type="http://schemas.openxmlformats.org/officeDocument/2006/relationships/worksheet" Target="/xl/worksheets/sheet1.xml" Id="R3ba83cf42f084380" /><Relationship Type="http://schemas.openxmlformats.org/officeDocument/2006/relationships/worksheet" Target="/xl/worksheets/sheet2.xml" Id="R1d68e4be90014be9" /><Relationship Type="http://schemas.openxmlformats.org/officeDocument/2006/relationships/worksheet" Target="/xl/worksheets/sheet3.xml" Id="Rbfedc4d5c63245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SUMIFS(Assets!$M$6:$M$163,Assets!$C$6:$C$163,A7)</x:f>
        <x:v>35</x:v>
      </x:c>
      <x:c r="E7" s="6" t="n">
        <x:f>COUNTIFS(Assets!$C$6:$C$163,A7,Assets!$B$6:$B$163,"Character",Assets!$H$6:$H$163,"Validated")</x:f>
        <x:v>35</x:v>
      </x:c>
      <x:c r="F7" s="6" t="n">
        <x:f>COUNTIFS(Assets!$C$6:$C$163,A7,Assets!$B$6:$B$163,"Character",Assets!$I$6:$I$163,"Play proven")</x:f>
        <x:v>0</x:v>
      </x:c>
      <x:c r="G7" s="6" t="n">
        <x:f>C7-D7</x:f>
        <x:v>0</x:v>
      </x:c>
      <x:c r="H7" s="6" t="n">
        <x:f>COUNTIFS(Assets!$C$6:$C$163,A7)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str">
        <x:v>Awaiting report</x:v>
      </x:c>
      <x:c r="E8" s="2" t="str">
        <x:v>Awaiting report</x:v>
      </x:c>
      <x:c r="F8" s="2" t="str">
        <x:v>Awaiting report</x:v>
      </x:c>
      <x:c r="G8" s="2" t="str">
        <x:v>Awaiting report</x:v>
      </x:c>
      <x:c r="H8" s="2" t="str">
        <x:v>Awaiting report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SUMIFS(Assets!$M$6:$M$163,Assets!$C$6:$C$163,A9)</x:f>
        <x:v>33</x:v>
      </x:c>
      <x:c r="E9" s="2" t="n">
        <x:f>COUNTIFS(Assets!$C$6:$C$163,A9,Assets!$B$6:$B$163,"Character",Assets!$H$6:$H$163,"Validated")</x:f>
        <x:v>64</x:v>
      </x:c>
      <x:c r="F9" s="2" t="n">
        <x:f>COUNTIFS(Assets!$C$6:$C$163,A9,Assets!$B$6:$B$163,"Character",Assets!$I$6:$I$163,"Play proven")</x:f>
        <x:v>0</x:v>
      </x:c>
      <x:c r="G9" s="2" t="n">
        <x:f>C9-D9</x:f>
        <x:v>0</x:v>
      </x:c>
      <x:c r="H9" s="2" t="n">
        <x:f>COUNTIFS(Assets!$C$6:$C$163,A9)</x:f>
        <x:v>91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str">
        <x:v>Awaiting report</x:v>
      </x:c>
      <x:c r="E10" s="2" t="str">
        <x:v>Awaiting report</x:v>
      </x:c>
      <x:c r="F10" s="2" t="str">
        <x:v>Awaiting report</x:v>
      </x:c>
      <x:c r="G10" s="2" t="str">
        <x:v>Awaiting report</x:v>
      </x:c>
      <x:c r="H10" s="2" t="str">
        <x:v>Awaiting report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str">
        <x:v>Awaiting report</x:v>
      </x:c>
      <x:c r="E11" s="2" t="str">
        <x:v>Awaiting report</x:v>
      </x:c>
      <x:c r="F11" s="2" t="str">
        <x:v>Awaiting report</x:v>
      </x:c>
      <x:c r="G11" s="2" t="str">
        <x:v>Awaiting report</x:v>
      </x:c>
      <x:c r="H11" s="2" t="str">
        <x:v>Awaiting report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SUM(Assets!E6:E163)</x:f>
        <x:v>85636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COUNTIFS(Assets!B6:B163,"Prop")+COUNTIFS(Assets!B6:B163,"Item")</x:f>
        <x:v>59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Role counts exclude palette tiers and duplicate dragon growth stages. Gallery/Parcels/Bricks upgrade batches remain queued.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Sources: validated Labyrinth/Portal exports and RetroMonster source hash. Art prototypes; Unreal acceptance pending.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</x:sheetData>
  <x:dataValidations count="4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