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f020ff03a940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72402fdea0b5440b"/>
    <x:sheet xmlns:r="http://schemas.openxmlformats.org/officeDocument/2006/relationships" name="Assets" sheetId="2" r:id="R1bab0b18469b4661"/>
    <x:sheet xmlns:r="http://schemas.openxmlformats.org/officeDocument/2006/relationships" name="Mechanics" sheetId="3" r:id="R80a8d9c25b824987"/>
    <x:sheet xmlns:r="http://schemas.openxmlformats.org/officeDocument/2006/relationships" name="Unreal verification" sheetId="4" r:id="R12271c568cbf4b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c393fca5f44dd3" /><Relationship Type="http://schemas.openxmlformats.org/officeDocument/2006/relationships/theme" Target="/xl/theme/theme1.xml" Id="R5326c4c8433846c8" /><Relationship Type="http://schemas.openxmlformats.org/officeDocument/2006/relationships/sharedStrings" Target="/xl/sharedStrings.xml" Id="R2890cac74e98420f" /><Relationship Type="http://schemas.openxmlformats.org/officeDocument/2006/relationships/worksheet" Target="/xl/worksheets/sheet1.xml" Id="R72402fdea0b5440b" /><Relationship Type="http://schemas.openxmlformats.org/officeDocument/2006/relationships/worksheet" Target="/xl/worksheets/sheet2.xml" Id="R1bab0b18469b4661" /><Relationship Type="http://schemas.openxmlformats.org/officeDocument/2006/relationships/worksheet" Target="/xl/worksheets/sheet3.xml" Id="R80a8d9c25b824987" /><Relationship Type="http://schemas.openxmlformats.org/officeDocument/2006/relationships/worksheet" Target="/xl/worksheets/sheet4.xml" Id="R12271c568cbf4b7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SUMIFS(Assets!$M$6:$M$344,Assets!$C$6:$C$344,A7)</x:f>
        <x:v>35</x:v>
      </x:c>
      <x:c r="E7" s="6" t="n">
        <x:f>COUNTIFS(Assets!$C$6:$C$344,A7,Assets!$B$6:$B$344,"Character",Assets!$H$6:$H$344,"Validated")</x:f>
        <x:v>35</x:v>
      </x:c>
      <x:c r="F7" s="6" t="n">
        <x:f>COUNTIFS(Assets!$C$6:$C$344,A7,Assets!$B$6:$B$344,"Character",Assets!$I$6:$I$344,"Play proven")</x:f>
        <x:v>0</x:v>
      </x:c>
      <x:c r="G7" s="6" t="n">
        <x:f>C7-D7</x:f>
        <x:v>0</x:v>
      </x:c>
      <x:c r="H7" s="6" t="n">
        <x:f>COUNTIFS(Assets!$C$6:$C$344,A7)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SUMIFS(Assets!$M$6:$M$344,Assets!$C$6:$C$344,A8)</x:f>
        <x:v>32</x:v>
      </x:c>
      <x:c r="E8" s="2" t="n">
        <x:f>COUNTIFS(Assets!$C$6:$C$344,A8,Assets!$B$6:$B$344,"Character",Assets!$H$6:$H$344,"Validated")</x:f>
        <x:v>32</x:v>
      </x:c>
      <x:c r="F8" s="2" t="n">
        <x:f>COUNTIFS(Assets!$C$6:$C$344,A8,Assets!$B$6:$B$344,"Character",Assets!$I$6:$I$344,"Play proven")</x:f>
        <x:v>0</x:v>
      </x:c>
      <x:c r="G8" s="2" t="n">
        <x:f>C8-D8</x:f>
        <x:v>0</x:v>
      </x:c>
      <x:c r="H8" s="2" t="n">
        <x:f>COUNTIFS(Assets!$C$6:$C$344,A8)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SUMIFS(Assets!$M$6:$M$344,Assets!$C$6:$C$344,A9)</x:f>
        <x:v>33</x:v>
      </x:c>
      <x:c r="E9" s="2" t="n">
        <x:f>COUNTIFS(Assets!$C$6:$C$344,A9,Assets!$B$6:$B$344,"Character",Assets!$H$6:$H$344,"Validated")</x:f>
        <x:v>77</x:v>
      </x:c>
      <x:c r="F9" s="2" t="n">
        <x:f>COUNTIFS(Assets!$C$6:$C$344,A9,Assets!$B$6:$B$344,"Character",Assets!$I$6:$I$344,"Play proven")</x:f>
        <x:v>0</x:v>
      </x:c>
      <x:c r="G9" s="2" t="n">
        <x:f>C9-D9</x:f>
        <x:v>0</x:v>
      </x:c>
      <x:c r="H9" s="2" t="n">
        <x:f>COUNTIFS(Assets!$C$6:$C$344,A9)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SUMIFS(Assets!$M$6:$M$344,Assets!$C$6:$C$344,A10)</x:f>
        <x:v>32</x:v>
      </x:c>
      <x:c r="E10" s="2" t="n">
        <x:f>COUNTIFS(Assets!$C$6:$C$344,A10,Assets!$B$6:$B$344,"Character",Assets!$H$6:$H$344,"Validated")</x:f>
        <x:v>32</x:v>
      </x:c>
      <x:c r="F10" s="2" t="n">
        <x:f>COUNTIFS(Assets!$C$6:$C$344,A10,Assets!$B$6:$B$344,"Character",Assets!$I$6:$I$344,"Play proven")</x:f>
        <x:v>0</x:v>
      </x:c>
      <x:c r="G10" s="2" t="n">
        <x:f>C10-D10</x:f>
        <x:v>0</x:v>
      </x:c>
      <x:c r="H10" s="2" t="n">
        <x:f>COUNTIFS(Assets!$C$6:$C$344,A10)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SUMIFS(Assets!$M$6:$M$344,Assets!$C$6:$C$344,A11)</x:f>
        <x:v>32</x:v>
      </x:c>
      <x:c r="E11" s="2" t="n">
        <x:f>COUNTIFS(Assets!$C$6:$C$344,A11,Assets!$B$6:$B$344,"Character",Assets!$H$6:$H$344,"Validated")</x:f>
        <x:v>32</x:v>
      </x:c>
      <x:c r="F11" s="2" t="n">
        <x:f>COUNTIFS(Assets!$C$6:$C$344,A11,Assets!$B$6:$B$344,"Character",Assets!$I$6:$I$344,"Play proven")</x:f>
        <x:v>0</x:v>
      </x:c>
      <x:c r="G11" s="2" t="n">
        <x:f>C11-D11</x:f>
        <x:v>0</x:v>
      </x:c>
      <x:c r="H11" s="2" t="n">
        <x:f>COUNTIFS(Assets!$C$6:$C$344,A11)</x:f>
        <x:v>56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SUM(Assets!E6:E344)</x:f>
        <x:v>311464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COUNTIFS(Assets!B6:B344,"Prop")+COUNTIFS(Assets!B6:B344,"Item")</x:f>
        <x:v>131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Codex kits: 339 unique asset references, including one unchanged AMF reuse. Export validation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COUNTIF(D8:D23,"Verified")</x:f>
        <x:v>11</x:v>
      </x:c>
      <x:c r="D5" t="str">
        <x:v>Pending checks</x:v>
      </x:c>
      <x:c r="E5" t="n">
        <x:f>COUNTIF(D8:D23,"Pending")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</x:sheetData>
  <x:dataValidations count="2">
    <x:dataValidation type="list" sqref="D8:D22">
      <x:formula1>"Verified,Pending"</x:formula1>
    </x:dataValidation>
    <x:dataValidation type="list" sqref="D23">
      <x:formula1>"Verified,Pending"</x:formula1>
    </x:dataValidation>
  </x:dataValidations>
  <x:pageMargins left="0.7" right="0.7" top="0.75" bottom="0.75" header="0.3" footer="0.3"/>
</x:worksheet>
</file>