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bf2466283844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ion" sheetId="1" r:id="R9651bb0dff654338"/>
    <x:sheet xmlns:r="http://schemas.openxmlformats.org/officeDocument/2006/relationships" name="Assets" sheetId="2" r:id="R4c15516a8a3244e1"/>
    <x:sheet xmlns:r="http://schemas.openxmlformats.org/officeDocument/2006/relationships" name="Mechanics" sheetId="3" r:id="R4e2265908d8949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4">
    <x:font>
      <x:sz val="11"/>
      <x:name val="Carlito"/>
    </x:font>
    <x:font>
      <x:sz val="10"/>
      <x:name val="Arial"/>
    </x:font>
    <x:font>
      <x:b/>
      <x:sz val="14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  <x:fill>
      <x:patternFill patternType="solid">
        <x:fgColor rgb="FF24374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201" fontId="1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60a8ac7e884270" /><Relationship Type="http://schemas.openxmlformats.org/officeDocument/2006/relationships/theme" Target="/xl/theme/theme1.xml" Id="R88ff649b67bf45d8" /><Relationship Type="http://schemas.openxmlformats.org/officeDocument/2006/relationships/sharedStrings" Target="/xl/sharedStrings.xml" Id="R9c330fd51ac74093" /><Relationship Type="http://schemas.openxmlformats.org/officeDocument/2006/relationships/worksheet" Target="/xl/worksheets/sheet1.xml" Id="R9651bb0dff654338" /><Relationship Type="http://schemas.openxmlformats.org/officeDocument/2006/relationships/worksheet" Target="/xl/worksheets/sheet2.xml" Id="R4c15516a8a3244e1" /><Relationship Type="http://schemas.openxmlformats.org/officeDocument/2006/relationships/worksheet" Target="/xl/worksheets/sheet3.xml" Id="R4e2265908d8949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5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production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2026-10-13. Counts track delivered art, not completed gameplay.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8" customHeight="1">
      <x:c r="A6" s="12" t="str">
        <x:v>Realm</x:v>
      </x:c>
      <x:c r="B6" s="12" t="str">
        <x:v>Art owner</x:v>
      </x:c>
      <x:c r="C6" s="12" t="str">
        <x:v>Role target</x:v>
      </x:c>
      <x:c r="D6" s="12" t="str">
        <x:v>Roles built</x:v>
      </x:c>
      <x:c r="E6" s="12" t="str">
        <x:v>Validated visuals</x:v>
      </x:c>
      <x:c r="F6" s="12" t="str">
        <x:v>Play proven</x:v>
      </x:c>
      <x:c r="G6" s="12" t="str">
        <x:v>Roles remaining</x:v>
      </x:c>
      <x:c r="H6" s="12" t="str">
        <x:v>Assets delivered</x:v>
      </x:c>
      <x:c r="I6" s="2"/>
      <x:c r="J6" s="2"/>
      <x:c r="K6" s="2"/>
      <x:c r="L6" s="2"/>
    </x:row>
    <x:row r="7" ht="28" customHeight="1">
      <x:c r="A7" s="2" t="str">
        <x:v>Labyrinth</x:v>
      </x:c>
      <x:c r="B7" s="2" t="str">
        <x:v>Sol / Codex</x:v>
      </x:c>
      <x:c r="C7" s="9" t="n">
        <x:v>35</x:v>
      </x:c>
      <x:c r="D7" s="6" t="n">
        <x:f>SUMIFS(Assets!$M$6:$M$189,Assets!$C$6:$C$189,A7)</x:f>
        <x:v>35</x:v>
      </x:c>
      <x:c r="E7" s="6" t="n">
        <x:f>COUNTIFS(Assets!$C$6:$C$189,A7,Assets!$B$6:$B$189,"Character",Assets!$H$6:$H$189,"Validated")</x:f>
        <x:v>35</x:v>
      </x:c>
      <x:c r="F7" s="6" t="n">
        <x:f>COUNTIFS(Assets!$C$6:$C$189,A7,Assets!$B$6:$B$189,"Character",Assets!$I$6:$I$189,"Play proven")</x:f>
        <x:v>0</x:v>
      </x:c>
      <x:c r="G7" s="6" t="n">
        <x:f>C7-D7</x:f>
        <x:v>0</x:v>
      </x:c>
      <x:c r="H7" s="6" t="n">
        <x:f>COUNTIFS(Assets!$C$6:$C$189,A7)</x:f>
        <x:v>67</x:v>
      </x:c>
      <x:c r="I7" s="2"/>
      <x:c r="J7" s="2"/>
      <x:c r="K7" s="2"/>
      <x:c r="L7" s="2"/>
    </x:row>
    <x:row r="8" ht="28" customHeight="1">
      <x:c r="A8" s="2" t="str">
        <x:v>Gallery City</x:v>
      </x:c>
      <x:c r="B8" s="2" t="str">
        <x:v>Sol / Codex</x:v>
      </x:c>
      <x:c r="C8" s="8" t="n">
        <x:v>32</x:v>
      </x:c>
      <x:c r="D8" s="2" t="n">
        <x:f>SUMIFS(Assets!$M$6:$M$189,Assets!$C$6:$C$189,A8)</x:f>
        <x:v>13</x:v>
      </x:c>
      <x:c r="E8" s="2" t="n">
        <x:f>COUNTIFS(Assets!$C$6:$C$189,A8,Assets!$B$6:$B$189,"Character",Assets!$H$6:$H$189,"Validated")</x:f>
        <x:v>13</x:v>
      </x:c>
      <x:c r="F8" s="2" t="n">
        <x:f>COUNTIFS(Assets!$C$6:$C$189,A8,Assets!$B$6:$B$189,"Character",Assets!$I$6:$I$189,"Play proven")</x:f>
        <x:v>0</x:v>
      </x:c>
      <x:c r="G8" s="2" t="n">
        <x:f>C8-D8</x:f>
        <x:v>19</x:v>
      </x:c>
      <x:c r="H8" s="2" t="n">
        <x:f>COUNTIFS(Assets!$C$6:$C$189,A8)</x:f>
        <x:v>13</x:v>
      </x:c>
      <x:c r="I8" s="2"/>
      <x:c r="J8" s="2"/>
      <x:c r="K8" s="2"/>
      <x:c r="L8" s="2"/>
    </x:row>
    <x:row r="9" ht="28" customHeight="1">
      <x:c r="A9" s="2" t="str">
        <x:v>Portal Realm</x:v>
      </x:c>
      <x:c r="B9" s="2" t="str">
        <x:v>Sol / Codex</x:v>
      </x:c>
      <x:c r="C9" s="8" t="n">
        <x:v>33</x:v>
      </x:c>
      <x:c r="D9" s="2" t="n">
        <x:f>SUMIFS(Assets!$M$6:$M$189,Assets!$C$6:$C$189,A9)</x:f>
        <x:v>33</x:v>
      </x:c>
      <x:c r="E9" s="2" t="n">
        <x:f>COUNTIFS(Assets!$C$6:$C$189,A9,Assets!$B$6:$B$189,"Character",Assets!$H$6:$H$189,"Validated")</x:f>
        <x:v>77</x:v>
      </x:c>
      <x:c r="F9" s="2" t="n">
        <x:f>COUNTIFS(Assets!$C$6:$C$189,A9,Assets!$B$6:$B$189,"Character",Assets!$I$6:$I$189,"Play proven")</x:f>
        <x:v>0</x:v>
      </x:c>
      <x:c r="G9" s="2" t="n">
        <x:f>C9-D9</x:f>
        <x:v>0</x:v>
      </x:c>
      <x:c r="H9" s="2" t="n">
        <x:f>COUNTIFS(Assets!$C$6:$C$189,A9)</x:f>
        <x:v>104</x:v>
      </x:c>
      <x:c r="I9" s="2"/>
      <x:c r="J9" s="2"/>
      <x:c r="K9" s="2"/>
      <x:c r="L9" s="2"/>
    </x:row>
    <x:row r="10" ht="28" customHeight="1">
      <x:c r="A10" s="2" t="str">
        <x:v>Brick Realm</x:v>
      </x:c>
      <x:c r="B10" s="2" t="str">
        <x:v>Sol / Codex</x:v>
      </x:c>
      <x:c r="C10" s="8" t="n">
        <x:v>32</x:v>
      </x:c>
      <x:c r="D10" s="2" t="n">
        <x:f>SUMIFS(Assets!$M$6:$M$189,Assets!$C$6:$C$189,A10)</x:f>
        <x:v>0</x:v>
      </x:c>
      <x:c r="E10" s="2" t="n">
        <x:f>COUNTIFS(Assets!$C$6:$C$189,A10,Assets!$B$6:$B$189,"Character",Assets!$H$6:$H$189,"Validated")</x:f>
        <x:v>0</x:v>
      </x:c>
      <x:c r="F10" s="2" t="n">
        <x:f>COUNTIFS(Assets!$C$6:$C$189,A10,Assets!$B$6:$B$189,"Character",Assets!$I$6:$I$189,"Play proven")</x:f>
        <x:v>0</x:v>
      </x:c>
      <x:c r="G10" s="2" t="n">
        <x:f>C10-D10</x:f>
        <x:v>32</x:v>
      </x:c>
      <x:c r="H10" s="2" t="n">
        <x:f>COUNTIFS(Assets!$C$6:$C$189,A10)</x:f>
        <x:v>0</x:v>
      </x:c>
      <x:c r="I10" s="2"/>
      <x:c r="J10" s="2"/>
      <x:c r="K10" s="2"/>
      <x:c r="L10" s="2"/>
    </x:row>
    <x:row r="11" ht="28" customHeight="1">
      <x:c r="A11" s="2" t="str">
        <x:v>The Parcels</x:v>
      </x:c>
      <x:c r="B11" s="2" t="str">
        <x:v>Sol / Codex</x:v>
      </x:c>
      <x:c r="C11" s="8" t="n">
        <x:v>32</x:v>
      </x:c>
      <x:c r="D11" s="2" t="n">
        <x:f>SUMIFS(Assets!$M$6:$M$189,Assets!$C$6:$C$189,A11)</x:f>
        <x:v>0</x:v>
      </x:c>
      <x:c r="E11" s="2" t="n">
        <x:f>COUNTIFS(Assets!$C$6:$C$189,A11,Assets!$B$6:$B$189,"Character",Assets!$H$6:$H$189,"Validated")</x:f>
        <x:v>0</x:v>
      </x:c>
      <x:c r="F11" s="2" t="n">
        <x:f>COUNTIFS(Assets!$C$6:$C$189,A11,Assets!$B$6:$B$189,"Character",Assets!$I$6:$I$189,"Play proven")</x:f>
        <x:v>0</x:v>
      </x:c>
      <x:c r="G11" s="2" t="n">
        <x:f>C11-D11</x:f>
        <x:v>32</x:v>
      </x:c>
      <x:c r="H11" s="2" t="n">
        <x:f>COUNTIFS(Assets!$C$6:$C$189,A11)</x:f>
        <x:v>0</x:v>
      </x:c>
      <x:c r="I11" s="2"/>
      <x:c r="J11" s="2"/>
      <x:c r="K11" s="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 t="str">
        <x:v>Delivered triangles</x:v>
      </x:c>
      <x:c r="B14" s="6" t="n">
        <x:f>SUM(Assets!E6:E189)</x:f>
        <x:v>179758</x:v>
      </x:c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>
      <x:c r="A15" s="2" t="str">
        <x:v>Static meshes delivered</x:v>
      </x:c>
      <x:c r="B15" s="6" t="n">
        <x:f>COUNTIFS(Assets!B6:B189,"Prop")+COUNTIFS(Assets!B6:B189,"Item")</x:f>
        <x:v>59</x:v>
      </x:c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>
      <x:c r="A17" s="2" t="str">
        <x:v>Codex kit only. Refined hero/slime individuals and LODs add exports without new role types.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>
      <x:c r="A20" s="21" t="str">
        <x:v>Approved population</x:v>
      </x:c>
      <x:c r="B20" s="21" t="str">
        <x:v>Target individuals</x:v>
      </x:c>
      <x:c r="C20" s="21" t="str">
        <x:v>Validated candidates</x:v>
      </x:c>
      <x:c r="D20" s="21" t="str">
        <x:v>Play proven</x:v>
      </x:c>
      <x:c r="E20" s="21" t="str">
        <x:v>Remaining art</x:v>
      </x:c>
      <x:c r="F20" s="2"/>
      <x:c r="G20" s="2"/>
      <x:c r="H20" s="2"/>
      <x:c r="I20" s="2"/>
      <x:c r="J20" s="2"/>
      <x:c r="K20" s="2"/>
      <x:c r="L20" s="2"/>
    </x:row>
    <x:row r="21">
      <x:c r="A21" s="2" t="str">
        <x:v>Enemies</x:v>
      </x:c>
      <x:c r="B21" s="2" t="n">
        <x:v>500</x:v>
      </x:c>
      <x:c r="C21" s="2" t="n">
        <x:v>10</x:v>
      </x:c>
      <x:c r="D21" s="2" t="n">
        <x:v>0</x:v>
      </x:c>
      <x:c r="E21" s="2" t="n">
        <x:v>490</x:v>
      </x:c>
      <x:c r="F21" s="2"/>
      <x:c r="G21" s="2"/>
      <x:c r="H21" s="2"/>
      <x:c r="I21" s="2"/>
      <x:c r="J21" s="2"/>
      <x:c r="K21" s="2"/>
      <x:c r="L21" s="2"/>
    </x:row>
    <x:row r="22">
      <x:c r="A22" s="2" t="str">
        <x:v>Friendlies</x:v>
      </x:c>
      <x:c r="B22" s="2" t="n">
        <x:v>500</x:v>
      </x:c>
      <x:c r="C22" s="2" t="n">
        <x:v>0</x:v>
      </x:c>
      <x:c r="D22" s="2" t="n">
        <x:v>0</x:v>
      </x:c>
      <x:c r="E22" s="2" t="n">
        <x:v>500</x:v>
      </x:c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 t="str">
        <x:v>50 types × 10 each per side. Population IDs linked to ten slime candidates. Boss designs are separate proposals.</x:v>
      </x:c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5" hidden="0" customWidth="1"/>
    <x:col min="2" max="2" width="14" hidden="0" customWidth="1"/>
    <x:col min="3" max="3" width="15" hidden="0" customWidth="1"/>
    <x:col min="4" max="4" width="47" hidden="0" customWidth="1"/>
    <x:col min="5" max="5" width="13" hidden="0" customWidth="1"/>
    <x:col min="6" max="6" width="27" hidden="0" customWidth="1"/>
    <x:col min="7" max="7" width="18" hidden="0" customWidth="1"/>
    <x:col min="8" max="8" width="16" hidden="0" customWidth="1"/>
    <x:col min="9" max="9" width="18" hidden="0" customWidth="1"/>
    <x:col min="10" max="10" width="24" hidden="0" customWidth="1"/>
    <x:col min="11" max="11" width="51" hidden="0" customWidth="1"/>
    <x:col min="12" max="12" width="70" hidden="0" customWidth="1"/>
    <x:col min="13" max="13" width="14" hidden="0" customWidth="1"/>
    <x:col min="14" max="14" width="2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upgrade asset register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Codex export register; excludes other teams. Validation is not visual approval or Play proof. LODs count as exports, not new roles.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26" customHeight="1">
      <x:c r="A5" s="12" t="str">
        <x:v>Asset ID</x:v>
      </x:c>
      <x:c r="B5" s="12" t="str">
        <x:v>Kind</x:v>
      </x:c>
      <x:c r="C5" s="12" t="str">
        <x:v>Realm</x:v>
      </x:c>
      <x:c r="D5" s="12" t="str">
        <x:v>Gameplay role</x:v>
      </x:c>
      <x:c r="E5" s="12" t="str">
        <x:v>Triangles</x:v>
      </x:c>
      <x:c r="F5" s="12" t="str">
        <x:v>Rig</x:v>
      </x:c>
      <x:c r="G5" s="12" t="str">
        <x:v>Clips</x:v>
      </x:c>
      <x:c r="H5" s="12" t="str">
        <x:v>Export</x:v>
      </x:c>
      <x:c r="I5" s="12" t="str">
        <x:v>Unreal</x:v>
      </x:c>
      <x:c r="J5" s="12" t="str">
        <x:v>Mechanic</x:v>
      </x:c>
      <x:c r="K5" s="12" t="str">
        <x:v>File</x:v>
      </x:c>
      <x:c r="L5" s="12" t="str">
        <x:v>SHA256</x:v>
      </x:c>
      <x:c r="M5" s="15" t="str">
        <x:v>Role count</x:v>
      </x:c>
      <x:c r="N5" s="15" t="str">
        <x:v>Source monster</x:v>
      </x:c>
      <x:c r="O5" s="19" t="str">
        <x:v>Population ID</x:v>
      </x:c>
      <x:c r="P5" s="19" t="str">
        <x:v>LOD level</x:v>
      </x:c>
    </x:row>
    <x:row r="6" ht="38" customHeight="1">
      <x:c r="A6" s="2" t="str">
        <x:v>Mob_Lab_Wayfinder</x:v>
      </x:c>
      <x:c r="B6" s="2" t="str">
        <x:v>Character</x:v>
      </x:c>
      <x:c r="C6" s="2" t="str">
        <x:v>Labyrinth</x:v>
      </x:c>
      <x:c r="D6" s="4" t="str">
        <x:v>Hero: thread, chalk and compass</x:v>
      </x:c>
      <x:c r="E6" s="6" t="n">
        <x:v>1424</x:v>
      </x:c>
      <x:c r="F6" s="2" t="str">
        <x:v>LabyrinthHumanoidV1</x:v>
      </x:c>
      <x:c r="G6" s="4" t="str">
        <x:v>Idle, Walk</x:v>
      </x:c>
      <x:c r="H6" s="2" t="str">
        <x:v>Validated</x:v>
      </x:c>
      <x:c r="I6" s="2" t="str">
        <x:v>Pending</x:v>
      </x:c>
      <x:c r="J6" s="2" t="str">
        <x:v>Binding pending</x:v>
      </x:c>
      <x:c r="K6" s="2" t="str">
        <x:v>humanoids/Mob_Lab_Wayfinder.glb</x:v>
      </x:c>
      <x:c r="L6" s="2" t="str">
        <x:v>23a0dbf916f8072fd723c07843f6c951b9db14de2b3766118159b5970ec0c39a</x:v>
      </x:c>
      <x:c r="M6" s="16" t="n">
        <x:v>1</x:v>
      </x:c>
      <x:c r="N6" s="1" t="str">
        <x:v>n.a.</x:v>
      </x:c>
    </x:row>
    <x:row r="7" ht="38" customHeight="1">
      <x:c r="A7" s="2" t="str">
        <x:v>Mob_Lab_ThreadSpinnerAri</x:v>
      </x:c>
      <x:c r="B7" s="2" t="str">
        <x:v>Character</x:v>
      </x:c>
      <x:c r="C7" s="2" t="str">
        <x:v>Labyrinth</x:v>
      </x:c>
      <x:c r="D7" s="4" t="str">
        <x:v>NPC: thread supply and path-marking quests</x:v>
      </x:c>
      <x:c r="E7" s="6" t="n">
        <x:v>1348</x:v>
      </x:c>
      <x:c r="F7" s="2" t="str">
        <x:v>LabyrinthHumanoidV1</x:v>
      </x:c>
      <x:c r="G7" s="4" t="str">
        <x:v>Idle, Walk</x:v>
      </x:c>
      <x:c r="H7" s="2" t="str">
        <x:v>Validated</x:v>
      </x:c>
      <x:c r="I7" s="2" t="str">
        <x:v>Pending</x:v>
      </x:c>
      <x:c r="J7" s="2" t="str">
        <x:v>Binding pending</x:v>
      </x:c>
      <x:c r="K7" s="2" t="str">
        <x:v>humanoids/Mob_Lab_ThreadSpinnerAri.glb</x:v>
      </x:c>
      <x:c r="L7" s="2" t="str">
        <x:v>bcfedd7548a969cab174803e6797649ab61f98b15663e43a9df14e991473377c</x:v>
      </x:c>
      <x:c r="M7" s="16" t="n">
        <x:v>1</x:v>
      </x:c>
      <x:c r="N7" s="1" t="str">
        <x:v>n.a.</x:v>
      </x:c>
    </x:row>
    <x:row r="8" ht="38" customHeight="1">
      <x:c r="A8" s="2" t="str">
        <x:v>Mob_Lab_LanternKeeper</x:v>
      </x:c>
      <x:c r="B8" s="2" t="str">
        <x:v>Character</x:v>
      </x:c>
      <x:c r="C8" s="2" t="str">
        <x:v>Labyrinth</x:v>
      </x:c>
      <x:c r="D8" s="4" t="str">
        <x:v>NPC: light supply and route guidance</x:v>
      </x:c>
      <x:c r="E8" s="6" t="n">
        <x:v>1462</x:v>
      </x:c>
      <x:c r="F8" s="2" t="str">
        <x:v>LabyrinthHumanoidV1</x:v>
      </x:c>
      <x:c r="G8" s="4" t="str">
        <x:v>Idle, Walk</x:v>
      </x:c>
      <x:c r="H8" s="2" t="str">
        <x:v>Validated</x:v>
      </x:c>
      <x:c r="I8" s="2" t="str">
        <x:v>Pending</x:v>
      </x:c>
      <x:c r="J8" s="2" t="str">
        <x:v>Binding pending</x:v>
      </x:c>
      <x:c r="K8" s="2" t="str">
        <x:v>humanoids/Mob_Lab_LanternKeeper.glb</x:v>
      </x:c>
      <x:c r="L8" s="2" t="str">
        <x:v>774f490f86c68f31e54934e5ee6942c229a18901012df95cb0f4d723403e2504</x:v>
      </x:c>
      <x:c r="M8" s="16" t="n">
        <x:v>1</x:v>
      </x:c>
      <x:c r="N8" s="1" t="str">
        <x:v>n.a.</x:v>
      </x:c>
    </x:row>
    <x:row r="9" ht="38" customHeight="1">
      <x:c r="A9" s="2" t="str">
        <x:v>Mob_Lab_Wallwright</x:v>
      </x:c>
      <x:c r="B9" s="2" t="str">
        <x:v>Character</x:v>
      </x:c>
      <x:c r="C9" s="2" t="str">
        <x:v>Labyrinth</x:v>
      </x:c>
      <x:c r="D9" s="4" t="str">
        <x:v>NPC: maze repairs and wall routes</x:v>
      </x:c>
      <x:c r="E9" s="6" t="n">
        <x:v>1160</x:v>
      </x:c>
      <x:c r="F9" s="2" t="str">
        <x:v>LabyrinthHumanoidV1</x:v>
      </x:c>
      <x:c r="G9" s="4" t="str">
        <x:v>Idle, Walk</x:v>
      </x:c>
      <x:c r="H9" s="2" t="str">
        <x:v>Validated</x:v>
      </x:c>
      <x:c r="I9" s="2" t="str">
        <x:v>Pending</x:v>
      </x:c>
      <x:c r="J9" s="2" t="str">
        <x:v>Binding pending</x:v>
      </x:c>
      <x:c r="K9" s="2" t="str">
        <x:v>humanoids/Mob_Lab_Wallwright.glb</x:v>
      </x:c>
      <x:c r="L9" s="2" t="str">
        <x:v>807e1be254f08222dd0705e08ac6ba04f47162de9d9d6acc41ecc6d49f7482a2</x:v>
      </x:c>
      <x:c r="M9" s="16" t="n">
        <x:v>1</x:v>
      </x:c>
      <x:c r="N9" s="1" t="str">
        <x:v>n.a.</x:v>
      </x:c>
    </x:row>
    <x:row r="10" ht="38" customHeight="1">
      <x:c r="A10" s="2" t="str">
        <x:v>Mob_Lab_LostCartographer</x:v>
      </x:c>
      <x:c r="B10" s="2" t="str">
        <x:v>Character</x:v>
      </x:c>
      <x:c r="C10" s="2" t="str">
        <x:v>Labyrinth</x:v>
      </x:c>
      <x:c r="D10" s="4" t="str">
        <x:v>NPC: partial maps and survey quests</x:v>
      </x:c>
      <x:c r="E10" s="6" t="n">
        <x:v>1152</x:v>
      </x:c>
      <x:c r="F10" s="2" t="str">
        <x:v>LabyrinthHumanoidV1</x:v>
      </x:c>
      <x:c r="G10" s="4" t="str">
        <x:v>Idle, Walk</x:v>
      </x:c>
      <x:c r="H10" s="2" t="str">
        <x:v>Validated</x:v>
      </x:c>
      <x:c r="I10" s="2" t="str">
        <x:v>Pending</x:v>
      </x:c>
      <x:c r="J10" s="2" t="str">
        <x:v>Binding pending</x:v>
      </x:c>
      <x:c r="K10" s="2" t="str">
        <x:v>humanoids/Mob_Lab_LostCartographer.glb</x:v>
      </x:c>
      <x:c r="L10" s="2" t="str">
        <x:v>28b68b8bd6603488c14d3cd67e67efde1aa118f0f8e65c409c03108a18d63270</x:v>
      </x:c>
      <x:c r="M10" s="16" t="n">
        <x:v>1</x:v>
      </x:c>
      <x:c r="N10" s="1" t="str">
        <x:v>n.a.</x:v>
      </x:c>
    </x:row>
    <x:row r="11" ht="38" customHeight="1">
      <x:c r="A11" s="2" t="str">
        <x:v>Mob_Lab_EchoHermit</x:v>
      </x:c>
      <x:c r="B11" s="2" t="str">
        <x:v>Character</x:v>
      </x:c>
      <x:c r="C11" s="2" t="str">
        <x:v>Labyrinth</x:v>
      </x:c>
      <x:c r="D11" s="4" t="str">
        <x:v>NPC: dead-end echo hints</x:v>
      </x:c>
      <x:c r="E11" s="6" t="n">
        <x:v>1238</x:v>
      </x:c>
      <x:c r="F11" s="2" t="str">
        <x:v>LabyrinthHumanoidV1</x:v>
      </x:c>
      <x:c r="G11" s="4" t="str">
        <x:v>Idle, Walk</x:v>
      </x:c>
      <x:c r="H11" s="2" t="str">
        <x:v>Validated</x:v>
      </x:c>
      <x:c r="I11" s="2" t="str">
        <x:v>Pending</x:v>
      </x:c>
      <x:c r="J11" s="2" t="str">
        <x:v>Binding pending</x:v>
      </x:c>
      <x:c r="K11" s="2" t="str">
        <x:v>humanoids/Mob_Lab_EchoHermit.glb</x:v>
      </x:c>
      <x:c r="L11" s="2" t="str">
        <x:v>69de9cfae1c9ad5cd9cb0f06058cd94d6c77973d0ef4c73ac99601ccc14c703e</x:v>
      </x:c>
      <x:c r="M11" s="16" t="n">
        <x:v>1</x:v>
      </x:c>
      <x:c r="N11" s="1" t="str">
        <x:v>n.a.</x:v>
      </x:c>
    </x:row>
    <x:row r="12" ht="38" customHeight="1">
      <x:c r="A12" s="2" t="str">
        <x:v>Mob_Lab_GateRiddler</x:v>
      </x:c>
      <x:c r="B12" s="2" t="str">
        <x:v>Character</x:v>
      </x:c>
      <x:c r="C12" s="2" t="str">
        <x:v>Labyrinth</x:v>
      </x:c>
      <x:c r="D12" s="4" t="str">
        <x:v>NPC: riddle gates</x:v>
      </x:c>
      <x:c r="E12" s="6" t="n">
        <x:v>1116</x:v>
      </x:c>
      <x:c r="F12" s="2" t="str">
        <x:v>LabyrinthHumanoidV1</x:v>
      </x:c>
      <x:c r="G12" s="4" t="str">
        <x:v>Idle, Walk</x:v>
      </x:c>
      <x:c r="H12" s="2" t="str">
        <x:v>Validated</x:v>
      </x:c>
      <x:c r="I12" s="2" t="str">
        <x:v>Pending</x:v>
      </x:c>
      <x:c r="J12" s="2" t="str">
        <x:v>Binding pending</x:v>
      </x:c>
      <x:c r="K12" s="2" t="str">
        <x:v>humanoids/Mob_Lab_GateRiddler.glb</x:v>
      </x:c>
      <x:c r="L12" s="2" t="str">
        <x:v>0f7909b381c616f22fdeb669b4e451a590576e9889f771a38748522e7c3a907c</x:v>
      </x:c>
      <x:c r="M12" s="16" t="n">
        <x:v>1</x:v>
      </x:c>
      <x:c r="N12" s="1" t="str">
        <x:v>n.a.</x:v>
      </x:c>
    </x:row>
    <x:row r="13" ht="38" customHeight="1">
      <x:c r="A13" s="2" t="str">
        <x:v>Mob_Lab_StriderTamerOona</x:v>
      </x:c>
      <x:c r="B13" s="2" t="str">
        <x:v>Character</x:v>
      </x:c>
      <x:c r="C13" s="2" t="str">
        <x:v>Labyrinth</x:v>
      </x:c>
      <x:c r="D13" s="4" t="str">
        <x:v>NPC: sky-strider care and rides</x:v>
      </x:c>
      <x:c r="E13" s="6" t="n">
        <x:v>1282</x:v>
      </x:c>
      <x:c r="F13" s="2" t="str">
        <x:v>LabyrinthHumanoidV1</x:v>
      </x:c>
      <x:c r="G13" s="4" t="str">
        <x:v>Idle, Walk</x:v>
      </x:c>
      <x:c r="H13" s="2" t="str">
        <x:v>Validated</x:v>
      </x:c>
      <x:c r="I13" s="2" t="str">
        <x:v>Pending</x:v>
      </x:c>
      <x:c r="J13" s="2" t="str">
        <x:v>Binding pending</x:v>
      </x:c>
      <x:c r="K13" s="2" t="str">
        <x:v>humanoids/Mob_Lab_StriderTamerOona.glb</x:v>
      </x:c>
      <x:c r="L13" s="2" t="str">
        <x:v>ceddc141b60c94a164e5f27036c01ea11745325d175024146782a757d54c6f62</x:v>
      </x:c>
      <x:c r="M13" s="16" t="n">
        <x:v>1</x:v>
      </x:c>
      <x:c r="N13" s="1" t="str">
        <x:v>n.a.</x:v>
      </x:c>
    </x:row>
    <x:row r="14" ht="38" customHeight="1">
      <x:c r="A14" s="2" t="str">
        <x:v>Mob_Lab_StatueGardener</x:v>
      </x:c>
      <x:c r="B14" s="2" t="str">
        <x:v>Character</x:v>
      </x:c>
      <x:c r="C14" s="2" t="str">
        <x:v>Labyrinth</x:v>
      </x:c>
      <x:c r="D14" s="4" t="str">
        <x:v>NPC: hedge growth and recovery</x:v>
      </x:c>
      <x:c r="E14" s="6" t="n">
        <x:v>1312</x:v>
      </x:c>
      <x:c r="F14" s="2" t="str">
        <x:v>LabyrinthHumanoidV1</x:v>
      </x:c>
      <x:c r="G14" s="4" t="str">
        <x:v>Idle, Walk</x:v>
      </x:c>
      <x:c r="H14" s="2" t="str">
        <x:v>Validated</x:v>
      </x:c>
      <x:c r="I14" s="2" t="str">
        <x:v>Pending</x:v>
      </x:c>
      <x:c r="J14" s="2" t="str">
        <x:v>Binding pending</x:v>
      </x:c>
      <x:c r="K14" s="2" t="str">
        <x:v>humanoids/Mob_Lab_StatueGardener.glb</x:v>
      </x:c>
      <x:c r="L14" s="2" t="str">
        <x:v>f82d5bd015001655e2622d0245d3c950448287860d431e7c0cee976132d0982c</x:v>
      </x:c>
      <x:c r="M14" s="16" t="n">
        <x:v>1</x:v>
      </x:c>
      <x:c r="N14" s="1" t="str">
        <x:v>n.a.</x:v>
      </x:c>
    </x:row>
    <x:row r="15" ht="38" customHeight="1">
      <x:c r="A15" s="2" t="str">
        <x:v>Mob_Lab_HerdWardenTobi</x:v>
      </x:c>
      <x:c r="B15" s="2" t="str">
        <x:v>Character</x:v>
      </x:c>
      <x:c r="C15" s="2" t="str">
        <x:v>Labyrinth</x:v>
      </x:c>
      <x:c r="D15" s="4" t="str">
        <x:v>NPC: Hornback care and calming</x:v>
      </x:c>
      <x:c r="E15" s="6" t="n">
        <x:v>1300</x:v>
      </x:c>
      <x:c r="F15" s="2" t="str">
        <x:v>LabyrinthHumanoidV1</x:v>
      </x:c>
      <x:c r="G15" s="4" t="str">
        <x:v>Idle, Walk</x:v>
      </x:c>
      <x:c r="H15" s="2" t="str">
        <x:v>Validated</x:v>
      </x:c>
      <x:c r="I15" s="2" t="str">
        <x:v>Pending</x:v>
      </x:c>
      <x:c r="J15" s="2" t="str">
        <x:v>Binding pending</x:v>
      </x:c>
      <x:c r="K15" s="2" t="str">
        <x:v>humanoids/Mob_Lab_HerdWardenTobi.glb</x:v>
      </x:c>
      <x:c r="L15" s="2" t="str">
        <x:v>0445e89efeda53e07862e404a349012a08820e33397ef75f530914fea930259c</x:v>
      </x:c>
      <x:c r="M15" s="16" t="n">
        <x:v>1</x:v>
      </x:c>
      <x:c r="N15" s="1" t="str">
        <x:v>n.a.</x:v>
      </x:c>
    </x:row>
    <x:row r="16" ht="38" customHeight="1">
      <x:c r="A16" s="2" t="str">
        <x:v>Mob_Lab_Trapsmith</x:v>
      </x:c>
      <x:c r="B16" s="2" t="str">
        <x:v>Character</x:v>
      </x:c>
      <x:c r="C16" s="2" t="str">
        <x:v>Labyrinth</x:v>
      </x:c>
      <x:c r="D16" s="4" t="str">
        <x:v>NPC: trap detection and disarming</x:v>
      </x:c>
      <x:c r="E16" s="6" t="n">
        <x:v>1212</x:v>
      </x:c>
      <x:c r="F16" s="2" t="str">
        <x:v>LabyrinthHumanoidV1</x:v>
      </x:c>
      <x:c r="G16" s="4" t="str">
        <x:v>Idle, Walk</x:v>
      </x:c>
      <x:c r="H16" s="2" t="str">
        <x:v>Validated</x:v>
      </x:c>
      <x:c r="I16" s="2" t="str">
        <x:v>Pending</x:v>
      </x:c>
      <x:c r="J16" s="2" t="str">
        <x:v>Binding pending</x:v>
      </x:c>
      <x:c r="K16" s="2" t="str">
        <x:v>humanoids/Mob_Lab_Trapsmith.glb</x:v>
      </x:c>
      <x:c r="L16" s="2" t="str">
        <x:v>613a5ec457fd79cf2fc72cc5c2359a288eb599e6cce638475056ea060c2a593d</x:v>
      </x:c>
      <x:c r="M16" s="16" t="n">
        <x:v>1</x:v>
      </x:c>
      <x:c r="N16" s="1" t="str">
        <x:v>n.a.</x:v>
      </x:c>
    </x:row>
    <x:row r="17" ht="38" customHeight="1">
      <x:c r="A17" s="2" t="str">
        <x:v>Mob_Lab_TwinDoors</x:v>
      </x:c>
      <x:c r="B17" s="2" t="str">
        <x:v>Character</x:v>
      </x:c>
      <x:c r="C17" s="2" t="str">
        <x:v>Labyrinth</x:v>
      </x:c>
      <x:c r="D17" s="4" t="str">
        <x:v>NPC: paired truth and lie puzzle</x:v>
      </x:c>
      <x:c r="E17" s="6" t="n">
        <x:v>1508</x:v>
      </x:c>
      <x:c r="F17" s="2" t="str">
        <x:v>LabyrinthHumanoidV1</x:v>
      </x:c>
      <x:c r="G17" s="4" t="str">
        <x:v>Idle, Walk</x:v>
      </x:c>
      <x:c r="H17" s="2" t="str">
        <x:v>Validated</x:v>
      </x:c>
      <x:c r="I17" s="2" t="str">
        <x:v>Pending</x:v>
      </x:c>
      <x:c r="J17" s="2" t="str">
        <x:v>Binding pending</x:v>
      </x:c>
      <x:c r="K17" s="2" t="str">
        <x:v>humanoids/Mob_Lab_TwinDoors.glb</x:v>
      </x:c>
      <x:c r="L17" s="2" t="str">
        <x:v>fe35fbe638c9885924d82a8f113731acb6f8d96fff6632d10e24b19984411f20</x:v>
      </x:c>
      <x:c r="M17" s="16" t="n">
        <x:v>1</x:v>
      </x:c>
      <x:c r="N17" s="1" t="str">
        <x:v>n.a.</x:v>
      </x:c>
    </x:row>
    <x:row r="18" ht="38" customHeight="1">
      <x:c r="A18" s="2" t="str">
        <x:v>Mob_Lab_ArchitectApprentice</x:v>
      </x:c>
      <x:c r="B18" s="2" t="str">
        <x:v>Character</x:v>
      </x:c>
      <x:c r="C18" s="2" t="str">
        <x:v>Labyrinth</x:v>
      </x:c>
      <x:c r="D18" s="4" t="str">
        <x:v>NPC: lost construction records</x:v>
      </x:c>
      <x:c r="E18" s="6" t="n">
        <x:v>1152</x:v>
      </x:c>
      <x:c r="F18" s="2" t="str">
        <x:v>LabyrinthHumanoidV1</x:v>
      </x:c>
      <x:c r="G18" s="4" t="str">
        <x:v>Idle, Walk</x:v>
      </x:c>
      <x:c r="H18" s="2" t="str">
        <x:v>Validated</x:v>
      </x:c>
      <x:c r="I18" s="2" t="str">
        <x:v>Pending</x:v>
      </x:c>
      <x:c r="J18" s="2" t="str">
        <x:v>Binding pending</x:v>
      </x:c>
      <x:c r="K18" s="2" t="str">
        <x:v>humanoids/Mob_Lab_ArchitectApprentice.glb</x:v>
      </x:c>
      <x:c r="L18" s="2" t="str">
        <x:v>9cb6d95a44f5a31f73923862e90636b89cd95eb9438977c22e58a6b67ba6473e</x:v>
      </x:c>
      <x:c r="M18" s="16" t="n">
        <x:v>1</x:v>
      </x:c>
      <x:c r="N18" s="1" t="str">
        <x:v>n.a.</x:v>
      </x:c>
    </x:row>
    <x:row r="19" ht="38" customHeight="1">
      <x:c r="A19" s="2" t="str">
        <x:v>Mob_Lab_CornerRat</x:v>
      </x:c>
      <x:c r="B19" s="2" t="str">
        <x:v>Character</x:v>
      </x:c>
      <x:c r="C19" s="2" t="str">
        <x:v>Labyrinth</x:v>
      </x:c>
      <x:c r="D19" s="4" t="str">
        <x:v>Common: scavenger in corners</x:v>
      </x:c>
      <x:c r="E19" s="6" t="n">
        <x:v>732</x:v>
      </x:c>
      <x:c r="F19" s="2" t="str">
        <x:v>LabyrinthCreatureV1</x:v>
      </x:c>
      <x:c r="G19" s="4" t="str">
        <x:v>Idle, Move</x:v>
      </x:c>
      <x:c r="H19" s="2" t="str">
        <x:v>Validated</x:v>
      </x:c>
      <x:c r="I19" s="2" t="str">
        <x:v>Pending</x:v>
      </x:c>
      <x:c r="J19" s="2" t="str">
        <x:v>Binding pending</x:v>
      </x:c>
      <x:c r="K19" s="2" t="str">
        <x:v>creatures/Mob_Lab_CornerRat.glb</x:v>
      </x:c>
      <x:c r="L19" s="2" t="str">
        <x:v>061590277d1afc31434c5a7143a345748491c497824de28d4f82366b5f56d15b</x:v>
      </x:c>
      <x:c r="M19" s="16" t="n">
        <x:v>1</x:v>
      </x:c>
      <x:c r="N19" s="1" t="str">
        <x:v>n.a.</x:v>
      </x:c>
    </x:row>
    <x:row r="20" ht="38" customHeight="1">
      <x:c r="A20" s="2" t="str">
        <x:v>Mob_Lab_ChalkEater</x:v>
      </x:c>
      <x:c r="B20" s="2" t="str">
        <x:v>Character</x:v>
      </x:c>
      <x:c r="C20" s="2" t="str">
        <x:v>Labyrinth</x:v>
      </x:c>
      <x:c r="D20" s="4" t="str">
        <x:v>Common: consumes path chalk</x:v>
      </x:c>
      <x:c r="E20" s="6" t="n">
        <x:v>1004</x:v>
      </x:c>
      <x:c r="F20" s="2" t="str">
        <x:v>LabyrinthCreatureV1</x:v>
      </x:c>
      <x:c r="G20" s="4" t="str">
        <x:v>Idle, Move</x:v>
      </x:c>
      <x:c r="H20" s="2" t="str">
        <x:v>Validated</x:v>
      </x:c>
      <x:c r="I20" s="2" t="str">
        <x:v>Pending</x:v>
      </x:c>
      <x:c r="J20" s="2" t="str">
        <x:v>Binding pending</x:v>
      </x:c>
      <x:c r="K20" s="2" t="str">
        <x:v>creatures/Mob_Lab_ChalkEater.glb</x:v>
      </x:c>
      <x:c r="L20" s="2" t="str">
        <x:v>14206299ddfffc459398e45667736621f69113211ae08e787407740fde4f5485</x:v>
      </x:c>
      <x:c r="M20" s="16" t="n">
        <x:v>1</x:v>
      </x:c>
      <x:c r="N20" s="1" t="str">
        <x:v>n.a.</x:v>
      </x:c>
    </x:row>
    <x:row r="21" ht="38" customHeight="1">
      <x:c r="A21" s="2" t="str">
        <x:v>Mob_Lab_GlowGrub</x:v>
      </x:c>
      <x:c r="B21" s="2" t="str">
        <x:v>Character</x:v>
      </x:c>
      <x:c r="C21" s="2" t="str">
        <x:v>Labyrinth</x:v>
      </x:c>
      <x:c r="D21" s="4" t="str">
        <x:v>Common: living light trail</x:v>
      </x:c>
      <x:c r="E21" s="6" t="n">
        <x:v>1224</x:v>
      </x:c>
      <x:c r="F21" s="2" t="str">
        <x:v>LabyrinthCreatureV1</x:v>
      </x:c>
      <x:c r="G21" s="4" t="str">
        <x:v>Idle, Move</x:v>
      </x:c>
      <x:c r="H21" s="2" t="str">
        <x:v>Validated</x:v>
      </x:c>
      <x:c r="I21" s="2" t="str">
        <x:v>Pending</x:v>
      </x:c>
      <x:c r="J21" s="2" t="str">
        <x:v>Binding pending</x:v>
      </x:c>
      <x:c r="K21" s="2" t="str">
        <x:v>creatures/Mob_Lab_GlowGrub.glb</x:v>
      </x:c>
      <x:c r="L21" s="2" t="str">
        <x:v>c51f441ec25c06876867d1c779ed520c16a1ce416c1daaec8b305d95369d79a2</x:v>
      </x:c>
      <x:c r="M21" s="16" t="n">
        <x:v>1</x:v>
      </x:c>
      <x:c r="N21" s="1" t="str">
        <x:v>n.a.</x:v>
      </x:c>
    </x:row>
    <x:row r="22" ht="38" customHeight="1">
      <x:c r="A22" s="2" t="str">
        <x:v>Mob_Lab_HedgeStalker</x:v>
      </x:c>
      <x:c r="B22" s="2" t="str">
        <x:v>Character</x:v>
      </x:c>
      <x:c r="C22" s="2" t="str">
        <x:v>Labyrinth</x:v>
      </x:c>
      <x:c r="D22" s="4" t="str">
        <x:v>Uncommon: hedge ambush</x:v>
      </x:c>
      <x:c r="E22" s="6" t="n">
        <x:v>792</x:v>
      </x:c>
      <x:c r="F22" s="2" t="str">
        <x:v>LabyrinthCreatureV1</x:v>
      </x:c>
      <x:c r="G22" s="4" t="str">
        <x:v>Idle, Move</x:v>
      </x:c>
      <x:c r="H22" s="2" t="str">
        <x:v>Validated</x:v>
      </x:c>
      <x:c r="I22" s="2" t="str">
        <x:v>Pending</x:v>
      </x:c>
      <x:c r="J22" s="2" t="str">
        <x:v>Binding pending</x:v>
      </x:c>
      <x:c r="K22" s="2" t="str">
        <x:v>creatures/Mob_Lab_HedgeStalker.glb</x:v>
      </x:c>
      <x:c r="L22" s="2" t="str">
        <x:v>566fbfff07cce28dd0c095a8673b129d10abec94b1bce553595ab76425cf0ee4</x:v>
      </x:c>
      <x:c r="M22" s="16" t="n">
        <x:v>1</x:v>
      </x:c>
      <x:c r="N22" s="1" t="str">
        <x:v>n.a.</x:v>
      </x:c>
    </x:row>
    <x:row r="23" ht="38" customHeight="1">
      <x:c r="A23" s="2" t="str">
        <x:v>Mob_Lab_MirrorBat</x:v>
      </x:c>
      <x:c r="B23" s="2" t="str">
        <x:v>Character</x:v>
      </x:c>
      <x:c r="C23" s="2" t="str">
        <x:v>Labyrinth</x:v>
      </x:c>
      <x:c r="D23" s="4" t="str">
        <x:v>Uncommon: misleading reflections</x:v>
      </x:c>
      <x:c r="E23" s="6" t="n">
        <x:v>976</x:v>
      </x:c>
      <x:c r="F23" s="2" t="str">
        <x:v>LabyrinthCreatureV1</x:v>
      </x:c>
      <x:c r="G23" s="4" t="str">
        <x:v>Idle, Move</x:v>
      </x:c>
      <x:c r="H23" s="2" t="str">
        <x:v>Validated</x:v>
      </x:c>
      <x:c r="I23" s="2" t="str">
        <x:v>Pending</x:v>
      </x:c>
      <x:c r="J23" s="2" t="str">
        <x:v>Binding pending</x:v>
      </x:c>
      <x:c r="K23" s="2" t="str">
        <x:v>creatures/Mob_Lab_MirrorBat.glb</x:v>
      </x:c>
      <x:c r="L23" s="2" t="str">
        <x:v>0cff5adc884981fc6280ee6a334932bb53d29894f89736efb6303a2d0a39925a</x:v>
      </x:c>
      <x:c r="M23" s="16" t="n">
        <x:v>1</x:v>
      </x:c>
      <x:c r="N23" s="1" t="str">
        <x:v>n.a.</x:v>
      </x:c>
    </x:row>
    <x:row r="24" ht="38" customHeight="1">
      <x:c r="A24" s="2" t="str">
        <x:v>Mob_Lab_WallMimic</x:v>
      </x:c>
      <x:c r="B24" s="2" t="str">
        <x:v>Character</x:v>
      </x:c>
      <x:c r="C24" s="2" t="str">
        <x:v>Labyrinth</x:v>
      </x:c>
      <x:c r="D24" s="4" t="str">
        <x:v>Rare: false doorway</x:v>
      </x:c>
      <x:c r="E24" s="6" t="n">
        <x:v>372</x:v>
      </x:c>
      <x:c r="F24" s="2" t="str">
        <x:v>LabyrinthCreatureV1</x:v>
      </x:c>
      <x:c r="G24" s="4" t="str">
        <x:v>Idle, Move</x:v>
      </x:c>
      <x:c r="H24" s="2" t="str">
        <x:v>Validated</x:v>
      </x:c>
      <x:c r="I24" s="2" t="str">
        <x:v>Pending</x:v>
      </x:c>
      <x:c r="J24" s="2" t="str">
        <x:v>Binding pending</x:v>
      </x:c>
      <x:c r="K24" s="2" t="str">
        <x:v>creatures/Mob_Lab_WallMimic.glb</x:v>
      </x:c>
      <x:c r="L24" s="2" t="str">
        <x:v>717df98ea67bd85e114334848a766d4150d108c094821a19940d38ed3b1de0dd</x:v>
      </x:c>
      <x:c r="M24" s="16" t="n">
        <x:v>1</x:v>
      </x:c>
      <x:c r="N24" s="1" t="str">
        <x:v>n.a.</x:v>
      </x:c>
    </x:row>
    <x:row r="25" ht="38" customHeight="1">
      <x:c r="A25" s="2" t="str">
        <x:v>Mob_Lab_ThreadSpider</x:v>
      </x:c>
      <x:c r="B25" s="2" t="str">
        <x:v>Character</x:v>
      </x:c>
      <x:c r="C25" s="2" t="str">
        <x:v>Labyrinth</x:v>
      </x:c>
      <x:c r="D25" s="4" t="str">
        <x:v>Rare: cuts marked thread</x:v>
      </x:c>
      <x:c r="E25" s="6" t="n">
        <x:v>1032</x:v>
      </x:c>
      <x:c r="F25" s="2" t="str">
        <x:v>LabyrinthCreatureV1</x:v>
      </x:c>
      <x:c r="G25" s="4" t="str">
        <x:v>Idle, Move</x:v>
      </x:c>
      <x:c r="H25" s="2" t="str">
        <x:v>Validated</x:v>
      </x:c>
      <x:c r="I25" s="2" t="str">
        <x:v>Pending</x:v>
      </x:c>
      <x:c r="J25" s="2" t="str">
        <x:v>Binding pending</x:v>
      </x:c>
      <x:c r="K25" s="2" t="str">
        <x:v>creatures/Mob_Lab_ThreadSpider.glb</x:v>
      </x:c>
      <x:c r="L25" s="2" t="str">
        <x:v>6bf20b547f0ec612aff41fd674cf6991bf2d6b176acf98c535d00001c54245e5</x:v>
      </x:c>
      <x:c r="M25" s="16" t="n">
        <x:v>1</x:v>
      </x:c>
      <x:c r="N25" s="1" t="str">
        <x:v>n.a.</x:v>
      </x:c>
    </x:row>
    <x:row r="26" ht="38" customHeight="1">
      <x:c r="A26" s="2" t="str">
        <x:v>Mob_Lab_HornbackBull</x:v>
      </x:c>
      <x:c r="B26" s="2" t="str">
        <x:v>Character</x:v>
      </x:c>
      <x:c r="C26" s="2" t="str">
        <x:v>Labyrinth</x:v>
      </x:c>
      <x:c r="D26" s="4" t="str">
        <x:v>Elite: corridor stampede</x:v>
      </x:c>
      <x:c r="E26" s="6" t="n">
        <x:v>776</x:v>
      </x:c>
      <x:c r="F26" s="2" t="str">
        <x:v>LabyrinthCreatureV1</x:v>
      </x:c>
      <x:c r="G26" s="4" t="str">
        <x:v>Idle, Move</x:v>
      </x:c>
      <x:c r="H26" s="2" t="str">
        <x:v>Validated</x:v>
      </x:c>
      <x:c r="I26" s="2" t="str">
        <x:v>Pending</x:v>
      </x:c>
      <x:c r="J26" s="2" t="str">
        <x:v>Binding pending</x:v>
      </x:c>
      <x:c r="K26" s="2" t="str">
        <x:v>creatures/Mob_Lab_HornbackBull.glb</x:v>
      </x:c>
      <x:c r="L26" s="2" t="str">
        <x:v>ec0fe6b272f4703405495685b33a0693209b7b6eb96bdb6f794ba2095c51a4d4</x:v>
      </x:c>
      <x:c r="M26" s="16" t="n">
        <x:v>1</x:v>
      </x:c>
      <x:c r="N26" s="1" t="str">
        <x:v>n.a.</x:v>
      </x:c>
    </x:row>
    <x:row r="27" ht="38" customHeight="1">
      <x:c r="A27" s="2" t="str">
        <x:v>Mob_Lab_SentinelSphinxling</x:v>
      </x:c>
      <x:c r="B27" s="2" t="str">
        <x:v>Character</x:v>
      </x:c>
      <x:c r="C27" s="2" t="str">
        <x:v>Labyrinth</x:v>
      </x:c>
      <x:c r="D27" s="4" t="str">
        <x:v>Elite: guards riddle rooms</x:v>
      </x:c>
      <x:c r="E27" s="6" t="n">
        <x:v>1048</x:v>
      </x:c>
      <x:c r="F27" s="2" t="str">
        <x:v>LabyrinthCreatureV1</x:v>
      </x:c>
      <x:c r="G27" s="4" t="str">
        <x:v>Idle, Move</x:v>
      </x:c>
      <x:c r="H27" s="2" t="str">
        <x:v>Validated</x:v>
      </x:c>
      <x:c r="I27" s="2" t="str">
        <x:v>Pending</x:v>
      </x:c>
      <x:c r="J27" s="2" t="str">
        <x:v>Binding pending</x:v>
      </x:c>
      <x:c r="K27" s="2" t="str">
        <x:v>creatures/Mob_Lab_SentinelSphinxling.glb</x:v>
      </x:c>
      <x:c r="L27" s="2" t="str">
        <x:v>aa184c7564d9dd35f33a8af74a1be96c0ee6012af61a07a79b44bbc43900073c</x:v>
      </x:c>
      <x:c r="M27" s="16" t="n">
        <x:v>1</x:v>
      </x:c>
      <x:c r="N27" s="1" t="str">
        <x:v>n.a.</x:v>
      </x:c>
    </x:row>
    <x:row r="28" ht="38" customHeight="1">
      <x:c r="A28" s="2" t="str">
        <x:v>Mob_Lab_FoldingMaze</x:v>
      </x:c>
      <x:c r="B28" s="2" t="str">
        <x:v>Character</x:v>
      </x:c>
      <x:c r="C28" s="2" t="str">
        <x:v>Labyrinth</x:v>
      </x:c>
      <x:c r="D28" s="4" t="str">
        <x:v>Boss: folding wall creature</x:v>
      </x:c>
      <x:c r="E28" s="6" t="n">
        <x:v>592</x:v>
      </x:c>
      <x:c r="F28" s="2" t="str">
        <x:v>LabyrinthCreatureV1</x:v>
      </x:c>
      <x:c r="G28" s="4" t="str">
        <x:v>Idle, Move</x:v>
      </x:c>
      <x:c r="H28" s="2" t="str">
        <x:v>Validated</x:v>
      </x:c>
      <x:c r="I28" s="2" t="str">
        <x:v>Pending</x:v>
      </x:c>
      <x:c r="J28" s="2" t="str">
        <x:v>Binding pending</x:v>
      </x:c>
      <x:c r="K28" s="2" t="str">
        <x:v>creatures/Mob_Lab_FoldingMaze.glb</x:v>
      </x:c>
      <x:c r="L28" s="2" t="str">
        <x:v>2e0c000556ffa04d56e866f1609dd5aacbe5835760603c80d389daeebafdb6c9</x:v>
      </x:c>
      <x:c r="M28" s="16" t="n">
        <x:v>1</x:v>
      </x:c>
      <x:c r="N28" s="1" t="str">
        <x:v>n.a.</x:v>
      </x:c>
    </x:row>
    <x:row r="29" ht="38" customHeight="1">
      <x:c r="A29" s="2" t="str">
        <x:v>Mob_Lab_MossSnail</x:v>
      </x:c>
      <x:c r="B29" s="2" t="str">
        <x:v>Character</x:v>
      </x:c>
      <x:c r="C29" s="2" t="str">
        <x:v>Labyrinth</x:v>
      </x:c>
      <x:c r="D29" s="4" t="str">
        <x:v>Ambient: moss recycling</x:v>
      </x:c>
      <x:c r="E29" s="6" t="n">
        <x:v>1200</x:v>
      </x:c>
      <x:c r="F29" s="2" t="str">
        <x:v>LabyrinthCreatureV1</x:v>
      </x:c>
      <x:c r="G29" s="4" t="str">
        <x:v>Idle, Move</x:v>
      </x:c>
      <x:c r="H29" s="2" t="str">
        <x:v>Validated</x:v>
      </x:c>
      <x:c r="I29" s="2" t="str">
        <x:v>Pending</x:v>
      </x:c>
      <x:c r="J29" s="2" t="str">
        <x:v>Binding pending</x:v>
      </x:c>
      <x:c r="K29" s="2" t="str">
        <x:v>creatures/Mob_Lab_MossSnail.glb</x:v>
      </x:c>
      <x:c r="L29" s="2" t="str">
        <x:v>8ac45a0c042503a982973c43c7a406364a1d866392726b6b1e3459e37c73d93c</x:v>
      </x:c>
      <x:c r="M29" s="16" t="n">
        <x:v>1</x:v>
      </x:c>
      <x:c r="N29" s="1" t="str">
        <x:v>n.a.</x:v>
      </x:c>
    </x:row>
    <x:row r="30" ht="38" customHeight="1">
      <x:c r="A30" s="2" t="str">
        <x:v>Mob_Lab_EchoCricket</x:v>
      </x:c>
      <x:c r="B30" s="2" t="str">
        <x:v>Character</x:v>
      </x:c>
      <x:c r="C30" s="2" t="str">
        <x:v>Labyrinth</x:v>
      </x:c>
      <x:c r="D30" s="4" t="str">
        <x:v>Ambient: echo timing clue</x:v>
      </x:c>
      <x:c r="E30" s="6" t="n">
        <x:v>912</x:v>
      </x:c>
      <x:c r="F30" s="2" t="str">
        <x:v>LabyrinthCreatureV1</x:v>
      </x:c>
      <x:c r="G30" s="4" t="str">
        <x:v>Idle, Move</x:v>
      </x:c>
      <x:c r="H30" s="2" t="str">
        <x:v>Validated</x:v>
      </x:c>
      <x:c r="I30" s="2" t="str">
        <x:v>Pending</x:v>
      </x:c>
      <x:c r="J30" s="2" t="str">
        <x:v>Binding pending</x:v>
      </x:c>
      <x:c r="K30" s="2" t="str">
        <x:v>creatures/Mob_Lab_EchoCricket.glb</x:v>
      </x:c>
      <x:c r="L30" s="2" t="str">
        <x:v>eb67b05c8117251449c5776289248e1e85aee98db195eb54fe2d8d8d1e853625</x:v>
      </x:c>
      <x:c r="M30" s="16" t="n">
        <x:v>1</x:v>
      </x:c>
      <x:c r="N30" s="1" t="str">
        <x:v>n.a.</x:v>
      </x:c>
    </x:row>
    <x:row r="31" ht="38" customHeight="1">
      <x:c r="A31" s="2" t="str">
        <x:v>Mob_Lab_SkyStrider</x:v>
      </x:c>
      <x:c r="B31" s="2" t="str">
        <x:v>Character</x:v>
      </x:c>
      <x:c r="C31" s="2" t="str">
        <x:v>Labyrinth</x:v>
      </x:c>
      <x:c r="D31" s="4" t="str">
        <x:v>Mount: realm sky-strider</x:v>
      </x:c>
      <x:c r="E31" s="6" t="n">
        <x:v>958</x:v>
      </x:c>
      <x:c r="F31" s="2" t="str">
        <x:v>LabyrinthCreatureV1</x:v>
      </x:c>
      <x:c r="G31" s="4" t="str">
        <x:v>Idle, Move</x:v>
      </x:c>
      <x:c r="H31" s="2" t="str">
        <x:v>Validated</x:v>
      </x:c>
      <x:c r="I31" s="2" t="str">
        <x:v>Pending</x:v>
      </x:c>
      <x:c r="J31" s="2" t="str">
        <x:v>Binding pending</x:v>
      </x:c>
      <x:c r="K31" s="2" t="str">
        <x:v>creatures/Mob_Lab_SkyStrider.glb</x:v>
      </x:c>
      <x:c r="L31" s="2" t="str">
        <x:v>3f05fbd534f2ffcd59dcf691d6c7d0766709835614c627aee85029858a2a7589</x:v>
      </x:c>
      <x:c r="M31" s="16" t="n">
        <x:v>1</x:v>
      </x:c>
      <x:c r="N31" s="1" t="str">
        <x:v>n.a.</x:v>
      </x:c>
    </x:row>
    <x:row r="32" ht="38" customHeight="1">
      <x:c r="A32" s="2" t="str">
        <x:v>Mob_Lab_CorridorHound</x:v>
      </x:c>
      <x:c r="B32" s="2" t="str">
        <x:v>Character</x:v>
      </x:c>
      <x:c r="C32" s="2" t="str">
        <x:v>Labyrinth</x:v>
      </x:c>
      <x:c r="D32" s="4" t="str">
        <x:v>Companion: scent route guide</x:v>
      </x:c>
      <x:c r="E32" s="6" t="n">
        <x:v>792</x:v>
      </x:c>
      <x:c r="F32" s="2" t="str">
        <x:v>LabyrinthCreatureV1</x:v>
      </x:c>
      <x:c r="G32" s="4" t="str">
        <x:v>Idle, Move</x:v>
      </x:c>
      <x:c r="H32" s="2" t="str">
        <x:v>Validated</x:v>
      </x:c>
      <x:c r="I32" s="2" t="str">
        <x:v>Pending</x:v>
      </x:c>
      <x:c r="J32" s="2" t="str">
        <x:v>Binding pending</x:v>
      </x:c>
      <x:c r="K32" s="2" t="str">
        <x:v>creatures/Mob_Lab_CorridorHound.glb</x:v>
      </x:c>
      <x:c r="L32" s="2" t="str">
        <x:v>0ad722c9dd37699bba338bcb0948d8b01b89863fc386cbc2c473e5a1a87e75ed</x:v>
      </x:c>
      <x:c r="M32" s="16" t="n">
        <x:v>1</x:v>
      </x:c>
      <x:c r="N32" s="1" t="str">
        <x:v>n.a.</x:v>
      </x:c>
    </x:row>
    <x:row r="33" ht="38" customHeight="1">
      <x:c r="A33" s="2" t="str">
        <x:v>Mob_Lab_LanternWisp</x:v>
      </x:c>
      <x:c r="B33" s="2" t="str">
        <x:v>Character</x:v>
      </x:c>
      <x:c r="C33" s="2" t="str">
        <x:v>Labyrinth</x:v>
      </x:c>
      <x:c r="D33" s="4" t="str">
        <x:v>Companion: bounded route lighting</x:v>
      </x:c>
      <x:c r="E33" s="6" t="n">
        <x:v>348</x:v>
      </x:c>
      <x:c r="F33" s="2" t="str">
        <x:v>LabyrinthCreatureV1</x:v>
      </x:c>
      <x:c r="G33" s="4" t="str">
        <x:v>Idle, Move</x:v>
      </x:c>
      <x:c r="H33" s="2" t="str">
        <x:v>Validated</x:v>
      </x:c>
      <x:c r="I33" s="2" t="str">
        <x:v>Pending</x:v>
      </x:c>
      <x:c r="J33" s="2" t="str">
        <x:v>Binding pending</x:v>
      </x:c>
      <x:c r="K33" s="2" t="str">
        <x:v>creatures/Mob_Lab_LanternWisp.glb</x:v>
      </x:c>
      <x:c r="L33" s="2" t="str">
        <x:v>a027e01473266cecb90084574d159f04ddd250d92e24c3a7024460b5f80bc913</x:v>
      </x:c>
      <x:c r="M33" s="16" t="n">
        <x:v>1</x:v>
      </x:c>
      <x:c r="N33" s="1" t="str">
        <x:v>n.a.</x:v>
      </x:c>
    </x:row>
    <x:row r="34" ht="38" customHeight="1">
      <x:c r="A34" s="2" t="str">
        <x:v>Mob_Lab_ChalkKitten</x:v>
      </x:c>
      <x:c r="B34" s="2" t="str">
        <x:v>Character</x:v>
      </x:c>
      <x:c r="C34" s="2" t="str">
        <x:v>Labyrinth</x:v>
      </x:c>
      <x:c r="D34" s="4" t="str">
        <x:v>Pet: finds chalk caches</x:v>
      </x:c>
      <x:c r="E34" s="6" t="n">
        <x:v>732</x:v>
      </x:c>
      <x:c r="F34" s="2" t="str">
        <x:v>LabyrinthCreatureV1</x:v>
      </x:c>
      <x:c r="G34" s="4" t="str">
        <x:v>Idle, Move</x:v>
      </x:c>
      <x:c r="H34" s="2" t="str">
        <x:v>Validated</x:v>
      </x:c>
      <x:c r="I34" s="2" t="str">
        <x:v>Pending</x:v>
      </x:c>
      <x:c r="J34" s="2" t="str">
        <x:v>Binding pending</x:v>
      </x:c>
      <x:c r="K34" s="2" t="str">
        <x:v>creatures/Mob_Lab_ChalkKitten.glb</x:v>
      </x:c>
      <x:c r="L34" s="2" t="str">
        <x:v>243e02ccecb2c719454881078f9590e1382b75a01840a1208c0c8d1a11f757ed</x:v>
      </x:c>
      <x:c r="M34" s="16" t="n">
        <x:v>1</x:v>
      </x:c>
      <x:c r="N34" s="1" t="str">
        <x:v>n.a.</x:v>
      </x:c>
    </x:row>
    <x:row r="35" ht="38" customHeight="1">
      <x:c r="A35" s="2" t="str">
        <x:v>Mob_Lab_CompassBeetle</x:v>
      </x:c>
      <x:c r="B35" s="2" t="str">
        <x:v>Character</x:v>
      </x:c>
      <x:c r="C35" s="2" t="str">
        <x:v>Labyrinth</x:v>
      </x:c>
      <x:c r="D35" s="4" t="str">
        <x:v>Pet: reacts near exits</x:v>
      </x:c>
      <x:c r="E35" s="6" t="n">
        <x:v>1004</x:v>
      </x:c>
      <x:c r="F35" s="2" t="str">
        <x:v>LabyrinthCreatureV1</x:v>
      </x:c>
      <x:c r="G35" s="4" t="str">
        <x:v>Idle, Move</x:v>
      </x:c>
      <x:c r="H35" s="2" t="str">
        <x:v>Validated</x:v>
      </x:c>
      <x:c r="I35" s="2" t="str">
        <x:v>Pending</x:v>
      </x:c>
      <x:c r="J35" s="2" t="str">
        <x:v>Binding pending</x:v>
      </x:c>
      <x:c r="K35" s="2" t="str">
        <x:v>creatures/Mob_Lab_CompassBeetle.glb</x:v>
      </x:c>
      <x:c r="L35" s="2" t="str">
        <x:v>5edacad7a5ace3a0edbe02fb44ba1b94029e163a6a12c14761f9c37523ba3d1e</x:v>
      </x:c>
      <x:c r="M35" s="16" t="n">
        <x:v>1</x:v>
      </x:c>
      <x:c r="N35" s="1" t="str">
        <x:v>n.a.</x:v>
      </x:c>
    </x:row>
    <x:row r="36" ht="38" customHeight="1">
      <x:c r="A36" s="2" t="str">
        <x:v>Mob_Lab_Mazemouse</x:v>
      </x:c>
      <x:c r="B36" s="2" t="str">
        <x:v>Character</x:v>
      </x:c>
      <x:c r="C36" s="2" t="str">
        <x:v>Labyrinth</x:v>
      </x:c>
      <x:c r="D36" s="4" t="str">
        <x:v>Pet: narrow-gap scout</x:v>
      </x:c>
      <x:c r="E36" s="6" t="n">
        <x:v>732</x:v>
      </x:c>
      <x:c r="F36" s="2" t="str">
        <x:v>LabyrinthCreatureV1</x:v>
      </x:c>
      <x:c r="G36" s="4" t="str">
        <x:v>Idle, Move</x:v>
      </x:c>
      <x:c r="H36" s="2" t="str">
        <x:v>Validated</x:v>
      </x:c>
      <x:c r="I36" s="2" t="str">
        <x:v>Pending</x:v>
      </x:c>
      <x:c r="J36" s="2" t="str">
        <x:v>Binding pending</x:v>
      </x:c>
      <x:c r="K36" s="2" t="str">
        <x:v>creatures/Mob_Lab_Mazemouse.glb</x:v>
      </x:c>
      <x:c r="L36" s="2" t="str">
        <x:v>9eca732e7877a9aa5444f18fcaf00742a0f8809f9a5a9f56b719fd56b2fee6d9</x:v>
      </x:c>
      <x:c r="M36" s="16" t="n">
        <x:v>1</x:v>
      </x:c>
      <x:c r="N36" s="1" t="str">
        <x:v>n.a.</x:v>
      </x:c>
    </x:row>
    <x:row r="37" ht="38" customHeight="1">
      <x:c r="A37" s="2" t="str">
        <x:v>Mob_Lab_ThreadMoth</x:v>
      </x:c>
      <x:c r="B37" s="2" t="str">
        <x:v>Character</x:v>
      </x:c>
      <x:c r="C37" s="2" t="str">
        <x:v>Labyrinth</x:v>
      </x:c>
      <x:c r="D37" s="4" t="str">
        <x:v>Pet: follows marked thread</x:v>
      </x:c>
      <x:c r="E37" s="6" t="n">
        <x:v>1048</x:v>
      </x:c>
      <x:c r="F37" s="2" t="str">
        <x:v>LabyrinthCreatureV1</x:v>
      </x:c>
      <x:c r="G37" s="4" t="str">
        <x:v>Idle, Move</x:v>
      </x:c>
      <x:c r="H37" s="2" t="str">
        <x:v>Validated</x:v>
      </x:c>
      <x:c r="I37" s="2" t="str">
        <x:v>Pending</x:v>
      </x:c>
      <x:c r="J37" s="2" t="str">
        <x:v>Binding pending</x:v>
      </x:c>
      <x:c r="K37" s="2" t="str">
        <x:v>creatures/Mob_Lab_ThreadMoth.glb</x:v>
      </x:c>
      <x:c r="L37" s="2" t="str">
        <x:v>c00a9da9e92622be561ae5ff92d65632af86b3d9ff7509da3dc8dd04f6ac2d29</x:v>
      </x:c>
      <x:c r="M37" s="16" t="n">
        <x:v>1</x:v>
      </x:c>
      <x:c r="N37" s="1" t="str">
        <x:v>n.a.</x:v>
      </x:c>
    </x:row>
    <x:row r="38" ht="38" customHeight="1">
      <x:c r="A38" s="2" t="str">
        <x:v>Mob_Lab_VenusGuide</x:v>
      </x:c>
      <x:c r="B38" s="2" t="str">
        <x:v>Character</x:v>
      </x:c>
      <x:c r="C38" s="2" t="str">
        <x:v>Labyrinth</x:v>
      </x:c>
      <x:c r="D38" s="4" t="str">
        <x:v>Friendly carnivorous helper: guides players and defends against hostiles</x:v>
      </x:c>
      <x:c r="E38" s="6" t="n">
        <x:v>936</x:v>
      </x:c>
      <x:c r="F38" s="2" t="str">
        <x:v>LabyrinthCreatureV1</x:v>
      </x:c>
      <x:c r="G38" s="4" t="str">
        <x:v>Idle, Move</x:v>
      </x:c>
      <x:c r="H38" s="2" t="str">
        <x:v>Validated</x:v>
      </x:c>
      <x:c r="I38" s="2" t="str">
        <x:v>Pending</x:v>
      </x:c>
      <x:c r="J38" s="2" t="str">
        <x:v>Binding pending</x:v>
      </x:c>
      <x:c r="K38" s="2" t="str">
        <x:v>creatures/Mob_Lab_VenusGuide.glb</x:v>
      </x:c>
      <x:c r="L38" s="2" t="str">
        <x:v>b6f44973abe11ea90a1ab7b3e7d4932dfadccb4b6270ad0a96f02d8909244c7e</x:v>
      </x:c>
      <x:c r="M38" s="16" t="n">
        <x:v>1</x:v>
      </x:c>
      <x:c r="N38" s="1" t="str">
        <x:v>n.a.</x:v>
      </x:c>
    </x:row>
    <x:row r="39" ht="38" customHeight="1">
      <x:c r="A39" s="2" t="str">
        <x:v>Mob_Lab_PitcherMedic</x:v>
      </x:c>
      <x:c r="B39" s="2" t="str">
        <x:v>Character</x:v>
      </x:c>
      <x:c r="C39" s="2" t="str">
        <x:v>Labyrinth</x:v>
      </x:c>
      <x:c r="D39" s="4" t="str">
        <x:v>Friendly carnivorous helper: offers safe shelter and healing quests</x:v>
      </x:c>
      <x:c r="E39" s="6" t="n">
        <x:v>748</x:v>
      </x:c>
      <x:c r="F39" s="2" t="str">
        <x:v>LabyrinthCreatureV1</x:v>
      </x:c>
      <x:c r="G39" s="4" t="str">
        <x:v>Idle, Move</x:v>
      </x:c>
      <x:c r="H39" s="2" t="str">
        <x:v>Validated</x:v>
      </x:c>
      <x:c r="I39" s="2" t="str">
        <x:v>Pending</x:v>
      </x:c>
      <x:c r="J39" s="2" t="str">
        <x:v>Binding pending</x:v>
      </x:c>
      <x:c r="K39" s="2" t="str">
        <x:v>creatures/Mob_Lab_PitcherMedic.glb</x:v>
      </x:c>
      <x:c r="L39" s="2" t="str">
        <x:v>405a0b79a40166dbca5ec6e2757d82d6cc285117e994bd5e09aaae5484821113</x:v>
      </x:c>
      <x:c r="M39" s="16" t="n">
        <x:v>1</x:v>
      </x:c>
      <x:c r="N39" s="1" t="str">
        <x:v>n.a.</x:v>
      </x:c>
    </x:row>
    <x:row r="40" ht="38" customHeight="1">
      <x:c r="A40" s="2" t="str">
        <x:v>Mob_Lab_SundewGuardian</x:v>
      </x:c>
      <x:c r="B40" s="2" t="str">
        <x:v>Character</x:v>
      </x:c>
      <x:c r="C40" s="2" t="str">
        <x:v>Labyrinth</x:v>
      </x:c>
      <x:c r="D40" s="4" t="str">
        <x:v>Friendly carnivorous helper: slows hostile pursuers, never players</x:v>
      </x:c>
      <x:c r="E40" s="6" t="n">
        <x:v>1680</x:v>
      </x:c>
      <x:c r="F40" s="2" t="str">
        <x:v>LabyrinthCreatureV1</x:v>
      </x:c>
      <x:c r="G40" s="4" t="str">
        <x:v>Idle, Move</x:v>
      </x:c>
      <x:c r="H40" s="2" t="str">
        <x:v>Validated</x:v>
      </x:c>
      <x:c r="I40" s="2" t="str">
        <x:v>Pending</x:v>
      </x:c>
      <x:c r="J40" s="2" t="str">
        <x:v>Binding pending</x:v>
      </x:c>
      <x:c r="K40" s="2" t="str">
        <x:v>creatures/Mob_Lab_SundewGuardian.glb</x:v>
      </x:c>
      <x:c r="L40" s="2" t="str">
        <x:v>57a02405bceffcb0cfdd098888f577537acd4b2e20af0d29eaaf842baa817104</x:v>
      </x:c>
      <x:c r="M40" s="16" t="n">
        <x:v>1</x:v>
      </x:c>
      <x:c r="N40" s="1" t="str">
        <x:v>n.a.</x:v>
      </x:c>
    </x:row>
    <x:row r="41" ht="38" customHeight="1">
      <x:c r="A41" s="2" t="str">
        <x:v>Prop_Lab_Floor4m</x:v>
      </x:c>
      <x:c r="B41" s="2" t="str">
        <x:v>Prop</x:v>
      </x:c>
      <x:c r="C41" s="2" t="str">
        <x:v>Labyrinth</x:v>
      </x:c>
      <x:c r="D41" s="4" t="str">
        <x:v>4m snapping floor</x:v>
      </x:c>
      <x:c r="E41" s="6" t="n">
        <x:v>44</x:v>
      </x:c>
      <x:c r="F41" s="2" t="str">
        <x:v>static</x:v>
      </x:c>
      <x:c r="G41" s="4" t="str"/>
      <x:c r="H41" s="2" t="str">
        <x:v>Validated</x:v>
      </x:c>
      <x:c r="I41" s="2" t="str">
        <x:v>Pending</x:v>
      </x:c>
      <x:c r="J41" s="2" t="str">
        <x:v>Binding pending</x:v>
      </x:c>
      <x:c r="K41" s="2" t="str">
        <x:v>environment/Prop_Lab_Floor4m.glb</x:v>
      </x:c>
      <x:c r="L41" s="2" t="str">
        <x:v>2c0b0b080a4180699c217b3c89e91d39350a0303cd281cede0ec2d6e1f6870c5</x:v>
      </x:c>
      <x:c r="M41" s="16" t="n">
        <x:v>0</x:v>
      </x:c>
      <x:c r="N41" s="1" t="str">
        <x:v>n.a.</x:v>
      </x:c>
    </x:row>
    <x:row r="42" ht="38" customHeight="1">
      <x:c r="A42" s="2" t="str">
        <x:v>Prop_Lab_Wall4m</x:v>
      </x:c>
      <x:c r="B42" s="2" t="str">
        <x:v>Prop</x:v>
      </x:c>
      <x:c r="C42" s="2" t="str">
        <x:v>Labyrinth</x:v>
      </x:c>
      <x:c r="D42" s="4" t="str">
        <x:v>4m wall with route inset</x:v>
      </x:c>
      <x:c r="E42" s="6" t="n">
        <x:v>132</x:v>
      </x:c>
      <x:c r="F42" s="2" t="str">
        <x:v>static</x:v>
      </x:c>
      <x:c r="G42" s="4" t="str"/>
      <x:c r="H42" s="2" t="str">
        <x:v>Validated</x:v>
      </x:c>
      <x:c r="I42" s="2" t="str">
        <x:v>Pending</x:v>
      </x:c>
      <x:c r="J42" s="2" t="str">
        <x:v>Binding pending</x:v>
      </x:c>
      <x:c r="K42" s="2" t="str">
        <x:v>environment/Prop_Lab_Wall4m.glb</x:v>
      </x:c>
      <x:c r="L42" s="2" t="str">
        <x:v>822ceab583be22880919297f97bbf821aa9612f2a9e2f3ea685113f2a047f8e5</x:v>
      </x:c>
      <x:c r="M42" s="16" t="n">
        <x:v>0</x:v>
      </x:c>
      <x:c r="N42" s="1" t="str">
        <x:v>n.a.</x:v>
      </x:c>
    </x:row>
    <x:row r="43" ht="38" customHeight="1">
      <x:c r="A43" s="2" t="str">
        <x:v>Prop_Lab_Corner4m</x:v>
      </x:c>
      <x:c r="B43" s="2" t="str">
        <x:v>Prop</x:v>
      </x:c>
      <x:c r="C43" s="2" t="str">
        <x:v>Labyrinth</x:v>
      </x:c>
      <x:c r="D43" s="4" t="str">
        <x:v>L-shaped maze corner</x:v>
      </x:c>
      <x:c r="E43" s="6" t="n">
        <x:v>176</x:v>
      </x:c>
      <x:c r="F43" s="2" t="str">
        <x:v>static</x:v>
      </x:c>
      <x:c r="G43" s="4" t="str"/>
      <x:c r="H43" s="2" t="str">
        <x:v>Validated</x:v>
      </x:c>
      <x:c r="I43" s="2" t="str">
        <x:v>Pending</x:v>
      </x:c>
      <x:c r="J43" s="2" t="str">
        <x:v>Binding pending</x:v>
      </x:c>
      <x:c r="K43" s="2" t="str">
        <x:v>environment/Prop_Lab_Corner4m.glb</x:v>
      </x:c>
      <x:c r="L43" s="2" t="str">
        <x:v>990bea2d49c029955691c0d3a648f701b126bf5e70ef505964734a618a02418c</x:v>
      </x:c>
      <x:c r="M43" s="16" t="n">
        <x:v>0</x:v>
      </x:c>
      <x:c r="N43" s="1" t="str">
        <x:v>n.a.</x:v>
      </x:c>
    </x:row>
    <x:row r="44" ht="38" customHeight="1">
      <x:c r="A44" s="2" t="str">
        <x:v>Prop_Lab_GateArch</x:v>
      </x:c>
      <x:c r="B44" s="2" t="str">
        <x:v>Prop</x:v>
      </x:c>
      <x:c r="C44" s="2" t="str">
        <x:v>Labyrinth</x:v>
      </x:c>
      <x:c r="D44" s="4" t="str">
        <x:v>Riddle gate frame</x:v>
      </x:c>
      <x:c r="E44" s="6" t="n">
        <x:v>132</x:v>
      </x:c>
      <x:c r="F44" s="2" t="str">
        <x:v>static</x:v>
      </x:c>
      <x:c r="G44" s="4" t="str"/>
      <x:c r="H44" s="2" t="str">
        <x:v>Validated</x:v>
      </x:c>
      <x:c r="I44" s="2" t="str">
        <x:v>Pending</x:v>
      </x:c>
      <x:c r="J44" s="2" t="str">
        <x:v>Binding pending</x:v>
      </x:c>
      <x:c r="K44" s="2" t="str">
        <x:v>environment/Prop_Lab_GateArch.glb</x:v>
      </x:c>
      <x:c r="L44" s="2" t="str">
        <x:v>ea3a82e7b36a8d629e051c277784fe65f602a76968f4cf684f8a96b475bb4f9a</x:v>
      </x:c>
      <x:c r="M44" s="16" t="n">
        <x:v>0</x:v>
      </x:c>
      <x:c r="N44" s="1" t="str">
        <x:v>n.a.</x:v>
      </x:c>
    </x:row>
    <x:row r="45" ht="38" customHeight="1">
      <x:c r="A45" s="2" t="str">
        <x:v>Prop_Lab_ThreadAnchor</x:v>
      </x:c>
      <x:c r="B45" s="2" t="str">
        <x:v>Prop</x:v>
      </x:c>
      <x:c r="C45" s="2" t="str">
        <x:v>Labyrinth</x:v>
      </x:c>
      <x:c r="D45" s="4" t="str">
        <x:v>Attach persistent route thread</x:v>
      </x:c>
      <x:c r="E45" s="6" t="n">
        <x:v>272</x:v>
      </x:c>
      <x:c r="F45" s="2" t="str">
        <x:v>static</x:v>
      </x:c>
      <x:c r="G45" s="4" t="str"/>
      <x:c r="H45" s="2" t="str">
        <x:v>Validated</x:v>
      </x:c>
      <x:c r="I45" s="2" t="str">
        <x:v>Pending</x:v>
      </x:c>
      <x:c r="J45" s="2" t="str">
        <x:v>Binding pending</x:v>
      </x:c>
      <x:c r="K45" s="2" t="str">
        <x:v>environment/Prop_Lab_ThreadAnchor.glb</x:v>
      </x:c>
      <x:c r="L45" s="2" t="str">
        <x:v>e40b65292bc16202cfd61730baa4ac83326ac3a1732e66d9d41bfc55021ad8f1</x:v>
      </x:c>
      <x:c r="M45" s="16" t="n">
        <x:v>0</x:v>
      </x:c>
      <x:c r="N45" s="1" t="str">
        <x:v>n.a.</x:v>
      </x:c>
    </x:row>
    <x:row r="46" ht="38" customHeight="1">
      <x:c r="A46" s="2" t="str">
        <x:v>Prop_Lab_ChalkMarker</x:v>
      </x:c>
      <x:c r="B46" s="2" t="str">
        <x:v>Prop</x:v>
      </x:c>
      <x:c r="C46" s="2" t="str">
        <x:v>Labyrinth</x:v>
      </x:c>
      <x:c r="D46" s="4" t="str">
        <x:v>Player path marking surface</x:v>
      </x:c>
      <x:c r="E46" s="6" t="n">
        <x:v>132</x:v>
      </x:c>
      <x:c r="F46" s="2" t="str">
        <x:v>static</x:v>
      </x:c>
      <x:c r="G46" s="4" t="str"/>
      <x:c r="H46" s="2" t="str">
        <x:v>Validated</x:v>
      </x:c>
      <x:c r="I46" s="2" t="str">
        <x:v>Pending</x:v>
      </x:c>
      <x:c r="J46" s="2" t="str">
        <x:v>Binding pending</x:v>
      </x:c>
      <x:c r="K46" s="2" t="str">
        <x:v>environment/Prop_Lab_ChalkMarker.glb</x:v>
      </x:c>
      <x:c r="L46" s="2" t="str">
        <x:v>074720f3929340f31f4d712e9275c0fb4400d8368b87ffbd976bdf69b6789aff</x:v>
      </x:c>
      <x:c r="M46" s="16" t="n">
        <x:v>0</x:v>
      </x:c>
      <x:c r="N46" s="1" t="str">
        <x:v>n.a.</x:v>
      </x:c>
    </x:row>
    <x:row r="47" ht="38" customHeight="1">
      <x:c r="A47" s="2" t="str">
        <x:v>Prop_Lab_TrapPlate</x:v>
      </x:c>
      <x:c r="B47" s="2" t="str">
        <x:v>Prop</x:v>
      </x:c>
      <x:c r="C47" s="2" t="str">
        <x:v>Labyrinth</x:v>
      </x:c>
      <x:c r="D47" s="4" t="str">
        <x:v>Readable pressure trap</x:v>
      </x:c>
      <x:c r="E47" s="6" t="n">
        <x:v>142</x:v>
      </x:c>
      <x:c r="F47" s="2" t="str">
        <x:v>static</x:v>
      </x:c>
      <x:c r="G47" s="4" t="str"/>
      <x:c r="H47" s="2" t="str">
        <x:v>Validated</x:v>
      </x:c>
      <x:c r="I47" s="2" t="str">
        <x:v>Pending</x:v>
      </x:c>
      <x:c r="J47" s="2" t="str">
        <x:v>Binding pending</x:v>
      </x:c>
      <x:c r="K47" s="2" t="str">
        <x:v>environment/Prop_Lab_TrapPlate.glb</x:v>
      </x:c>
      <x:c r="L47" s="2" t="str">
        <x:v>e55af118ea01ff32a457b3396ac756f79f3a9d3c2b67229ada95457f5e01c1f6</x:v>
      </x:c>
      <x:c r="M47" s="16" t="n">
        <x:v>0</x:v>
      </x:c>
      <x:c r="N47" s="1" t="str">
        <x:v>n.a.</x:v>
      </x:c>
    </x:row>
    <x:row r="48" ht="38" customHeight="1">
      <x:c r="A48" s="2" t="str">
        <x:v>Prop_Lab_MirrorPanel</x:v>
      </x:c>
      <x:c r="B48" s="2" t="str">
        <x:v>Prop</x:v>
      </x:c>
      <x:c r="C48" s="2" t="str">
        <x:v>Labyrinth</x:v>
      </x:c>
      <x:c r="D48" s="4" t="str">
        <x:v>Reflection puzzle surface</x:v>
      </x:c>
      <x:c r="E48" s="6" t="n">
        <x:v>132</x:v>
      </x:c>
      <x:c r="F48" s="2" t="str">
        <x:v>static</x:v>
      </x:c>
      <x:c r="G48" s="4" t="str"/>
      <x:c r="H48" s="2" t="str">
        <x:v>Validated</x:v>
      </x:c>
      <x:c r="I48" s="2" t="str">
        <x:v>Pending</x:v>
      </x:c>
      <x:c r="J48" s="2" t="str">
        <x:v>Binding pending</x:v>
      </x:c>
      <x:c r="K48" s="2" t="str">
        <x:v>environment/Prop_Lab_MirrorPanel.glb</x:v>
      </x:c>
      <x:c r="L48" s="2" t="str">
        <x:v>4c071b45af920eefbe6d0056bb1cdc2dc96ab85f9352bee645d79b0a7137cfc3</x:v>
      </x:c>
      <x:c r="M48" s="16" t="n">
        <x:v>0</x:v>
      </x:c>
      <x:c r="N48" s="1" t="str">
        <x:v>n.a.</x:v>
      </x:c>
    </x:row>
    <x:row r="49" ht="38" customHeight="1">
      <x:c r="A49" s="2" t="str">
        <x:v>Prop_Lab_HedgePlanter</x:v>
      </x:c>
      <x:c r="B49" s="2" t="str">
        <x:v>Prop</x:v>
      </x:c>
      <x:c r="C49" s="2" t="str">
        <x:v>Labyrinth</x:v>
      </x:c>
      <x:c r="D49" s="4" t="str">
        <x:v>Regrowing hedge obstacle</x:v>
      </x:c>
      <x:c r="E49" s="6" t="n">
        <x:v>448</x:v>
      </x:c>
      <x:c r="F49" s="2" t="str">
        <x:v>static</x:v>
      </x:c>
      <x:c r="G49" s="4" t="str"/>
      <x:c r="H49" s="2" t="str">
        <x:v>Validated</x:v>
      </x:c>
      <x:c r="I49" s="2" t="str">
        <x:v>Pending</x:v>
      </x:c>
      <x:c r="J49" s="2" t="str">
        <x:v>Binding pending</x:v>
      </x:c>
      <x:c r="K49" s="2" t="str">
        <x:v>environment/Prop_Lab_HedgePlanter.glb</x:v>
      </x:c>
      <x:c r="L49" s="2" t="str">
        <x:v>1efc4f87b79cb57207c952dd0c50f91fc3c04954765244cea70b2da18ca58cfb</x:v>
      </x:c>
      <x:c r="M49" s="16" t="n">
        <x:v>0</x:v>
      </x:c>
      <x:c r="N49" s="1" t="str">
        <x:v>n.a.</x:v>
      </x:c>
    </x:row>
    <x:row r="50" ht="38" customHeight="1">
      <x:c r="A50" s="2" t="str">
        <x:v>Prop_Lab_StriderPerch</x:v>
      </x:c>
      <x:c r="B50" s="2" t="str">
        <x:v>Prop</x:v>
      </x:c>
      <x:c r="C50" s="2" t="str">
        <x:v>Labyrinth</x:v>
      </x:c>
      <x:c r="D50" s="4" t="str">
        <x:v>Mount rest and care</x:v>
      </x:c>
      <x:c r="E50" s="6" t="n">
        <x:v>160</x:v>
      </x:c>
      <x:c r="F50" s="2" t="str">
        <x:v>static</x:v>
      </x:c>
      <x:c r="G50" s="4" t="str"/>
      <x:c r="H50" s="2" t="str">
        <x:v>Validated</x:v>
      </x:c>
      <x:c r="I50" s="2" t="str">
        <x:v>Pending</x:v>
      </x:c>
      <x:c r="J50" s="2" t="str">
        <x:v>Binding pending</x:v>
      </x:c>
      <x:c r="K50" s="2" t="str">
        <x:v>environment/Prop_Lab_StriderPerch.glb</x:v>
      </x:c>
      <x:c r="L50" s="2" t="str">
        <x:v>7509d19c809c67db18d3474dcfd086e2f625f0ed14f2b3013280c73e37ba8565</x:v>
      </x:c>
      <x:c r="M50" s="16" t="n">
        <x:v>0</x:v>
      </x:c>
      <x:c r="N50" s="1" t="str">
        <x:v>n.a.</x:v>
      </x:c>
    </x:row>
    <x:row r="51" ht="38" customHeight="1">
      <x:c r="A51" s="2" t="str">
        <x:v>Prop_Lab_HornbackTrough</x:v>
      </x:c>
      <x:c r="B51" s="2" t="str">
        <x:v>Prop</x:v>
      </x:c>
      <x:c r="C51" s="2" t="str">
        <x:v>Labyrinth</x:v>
      </x:c>
      <x:c r="D51" s="4" t="str">
        <x:v>Livestock care and calming</x:v>
      </x:c>
      <x:c r="E51" s="6" t="n">
        <x:v>264</x:v>
      </x:c>
      <x:c r="F51" s="2" t="str">
        <x:v>static</x:v>
      </x:c>
      <x:c r="G51" s="4" t="str"/>
      <x:c r="H51" s="2" t="str">
        <x:v>Validated</x:v>
      </x:c>
      <x:c r="I51" s="2" t="str">
        <x:v>Pending</x:v>
      </x:c>
      <x:c r="J51" s="2" t="str">
        <x:v>Binding pending</x:v>
      </x:c>
      <x:c r="K51" s="2" t="str">
        <x:v>environment/Prop_Lab_HornbackTrough.glb</x:v>
      </x:c>
      <x:c r="L51" s="2" t="str">
        <x:v>acee1bbccc4f88b524def714e3054875d44cee1db435b2702ddab530d7dc419b</x:v>
      </x:c>
      <x:c r="M51" s="16" t="n">
        <x:v>0</x:v>
      </x:c>
      <x:c r="N51" s="1" t="str">
        <x:v>n.a.</x:v>
      </x:c>
    </x:row>
    <x:row r="52" ht="38" customHeight="1">
      <x:c r="A52" s="2" t="str">
        <x:v>Prop_Lab_EchoBell</x:v>
      </x:c>
      <x:c r="B52" s="2" t="str">
        <x:v>Prop</x:v>
      </x:c>
      <x:c r="C52" s="2" t="str">
        <x:v>Labyrinth</x:v>
      </x:c>
      <x:c r="D52" s="4" t="str">
        <x:v>Echo timing puzzle</x:v>
      </x:c>
      <x:c r="E52" s="6" t="n">
        <x:v>212</x:v>
      </x:c>
      <x:c r="F52" s="2" t="str">
        <x:v>static</x:v>
      </x:c>
      <x:c r="G52" s="4" t="str"/>
      <x:c r="H52" s="2" t="str">
        <x:v>Validated</x:v>
      </x:c>
      <x:c r="I52" s="2" t="str">
        <x:v>Pending</x:v>
      </x:c>
      <x:c r="J52" s="2" t="str">
        <x:v>Binding pending</x:v>
      </x:c>
      <x:c r="K52" s="2" t="str">
        <x:v>environment/Prop_Lab_EchoBell.glb</x:v>
      </x:c>
      <x:c r="L52" s="2" t="str">
        <x:v>e9ba537e3aaa041c569b43388d365bd80e759395d23b5f41ac90190ae0464683</x:v>
      </x:c>
      <x:c r="M52" s="16" t="n">
        <x:v>0</x:v>
      </x:c>
      <x:c r="N52" s="1" t="str">
        <x:v>n.a.</x:v>
      </x:c>
    </x:row>
    <x:row r="53" ht="38" customHeight="1">
      <x:c r="A53" s="2" t="str">
        <x:v>Prop_Lab_DM_NarratorLectern</x:v>
      </x:c>
      <x:c r="B53" s="2" t="str">
        <x:v>Prop</x:v>
      </x:c>
      <x:c r="C53" s="2" t="str">
        <x:v>Labyrinth</x:v>
      </x:c>
      <x:c r="D53" s="4" t="str">
        <x:v>Display authoritative narrative and available choices</x:v>
      </x:c>
      <x:c r="E53" s="6" t="n">
        <x:v>60</x:v>
      </x:c>
      <x:c r="F53" s="2" t="str">
        <x:v>static</x:v>
      </x:c>
      <x:c r="G53" s="4" t="str"/>
      <x:c r="H53" s="2" t="str">
        <x:v>Validated</x:v>
      </x:c>
      <x:c r="I53" s="2" t="str">
        <x:v>Pending</x:v>
      </x:c>
      <x:c r="J53" s="2" t="str">
        <x:v>Binding pending</x:v>
      </x:c>
      <x:c r="K53" s="2" t="str">
        <x:v>dungeon-master/Prop_Lab_DM_NarratorLectern.glb</x:v>
      </x:c>
      <x:c r="L53" s="2" t="str">
        <x:v>9da32fe7c6c281d127f4d83c132df70bde73aec13f508120f24b70fd5198af2d</x:v>
      </x:c>
      <x:c r="M53" s="16" t="n">
        <x:v>0</x:v>
      </x:c>
      <x:c r="N53" s="1" t="str">
        <x:v>n.a.</x:v>
      </x:c>
    </x:row>
    <x:row r="54" ht="38" customHeight="1">
      <x:c r="A54" s="2" t="str">
        <x:v>Prop_Lab_DM_ChoiceTrident</x:v>
      </x:c>
      <x:c r="B54" s="2" t="str">
        <x:v>Prop</x:v>
      </x:c>
      <x:c r="C54" s="2" t="str">
        <x:v>Labyrinth</x:v>
      </x:c>
      <x:c r="D54" s="4" t="str">
        <x:v>Select a currently offered choice</x:v>
      </x:c>
      <x:c r="E54" s="6" t="n">
        <x:v>72</x:v>
      </x:c>
      <x:c r="F54" s="2" t="str">
        <x:v>static</x:v>
      </x:c>
      <x:c r="G54" s="4" t="str"/>
      <x:c r="H54" s="2" t="str">
        <x:v>Validated</x:v>
      </x:c>
      <x:c r="I54" s="2" t="str">
        <x:v>Pending</x:v>
      </x:c>
      <x:c r="J54" s="2" t="str">
        <x:v>Binding pending</x:v>
      </x:c>
      <x:c r="K54" s="2" t="str">
        <x:v>dungeon-master/Prop_Lab_DM_ChoiceTrident.glb</x:v>
      </x:c>
      <x:c r="L54" s="2" t="str">
        <x:v>70f2260725eb38e27677b4521d0e422d67a3509fe2bb137aca72e1db27cd94ed</x:v>
      </x:c>
      <x:c r="M54" s="16" t="n">
        <x:v>0</x:v>
      </x:c>
      <x:c r="N54" s="1" t="str">
        <x:v>n.a.</x:v>
      </x:c>
    </x:row>
    <x:row r="55" ht="38" customHeight="1">
      <x:c r="A55" s="2" t="str">
        <x:v>Prop_Lab_DM_ChronicleArchive</x:v>
      </x:c>
      <x:c r="B55" s="2" t="str">
        <x:v>Prop</x:v>
      </x:c>
      <x:c r="C55" s="2" t="str">
        <x:v>Labyrinth</x:v>
      </x:c>
      <x:c r="D55" s="4" t="str">
        <x:v>Read recent history without replaying actions</x:v>
      </x:c>
      <x:c r="E55" s="6" t="n">
        <x:v>144</x:v>
      </x:c>
      <x:c r="F55" s="2" t="str">
        <x:v>static</x:v>
      </x:c>
      <x:c r="G55" s="4" t="str"/>
      <x:c r="H55" s="2" t="str">
        <x:v>Validated</x:v>
      </x:c>
      <x:c r="I55" s="2" t="str">
        <x:v>Pending</x:v>
      </x:c>
      <x:c r="J55" s="2" t="str">
        <x:v>Binding pending</x:v>
      </x:c>
      <x:c r="K55" s="2" t="str">
        <x:v>dungeon-master/Prop_Lab_DM_ChronicleArchive.glb</x:v>
      </x:c>
      <x:c r="L55" s="2" t="str">
        <x:v>bbe6f1a45ded00da8c642c6fe9466b1b6ee022971be03d52e36b6e8b3459038e</x:v>
      </x:c>
      <x:c r="M55" s="16" t="n">
        <x:v>0</x:v>
      </x:c>
      <x:c r="N55" s="1" t="str">
        <x:v>n.a.</x:v>
      </x:c>
    </x:row>
    <x:row r="56" ht="38" customHeight="1">
      <x:c r="A56" s="2" t="str">
        <x:v>Prop_Lab_DM_QuestSeal</x:v>
      </x:c>
      <x:c r="B56" s="2" t="str">
        <x:v>Prop</x:v>
      </x:c>
      <x:c r="C56" s="2" t="str">
        <x:v>Labyrinth</x:v>
      </x:c>
      <x:c r="D56" s="4" t="str">
        <x:v>Show current quest state</x:v>
      </x:c>
      <x:c r="E56" s="6" t="n">
        <x:v>104</x:v>
      </x:c>
      <x:c r="F56" s="2" t="str">
        <x:v>static</x:v>
      </x:c>
      <x:c r="G56" s="4" t="str"/>
      <x:c r="H56" s="2" t="str">
        <x:v>Validated</x:v>
      </x:c>
      <x:c r="I56" s="2" t="str">
        <x:v>Pending</x:v>
      </x:c>
      <x:c r="J56" s="2" t="str">
        <x:v>Binding pending</x:v>
      </x:c>
      <x:c r="K56" s="2" t="str">
        <x:v>dungeon-master/Prop_Lab_DM_QuestSeal.glb</x:v>
      </x:c>
      <x:c r="L56" s="2" t="str">
        <x:v>76d0322743f64940baf1e7ca1aa423b8b3a4e9ac87a14f11c966001476186f6d</x:v>
      </x:c>
      <x:c r="M56" s="16" t="n">
        <x:v>0</x:v>
      </x:c>
      <x:c r="N56" s="1" t="str">
        <x:v>n.a.</x:v>
      </x:c>
    </x:row>
    <x:row r="57" ht="38" customHeight="1">
      <x:c r="A57" s="2" t="str">
        <x:v>Prop_Lab_DM_ReturnWaymarker</x:v>
      </x:c>
      <x:c r="B57" s="2" t="str">
        <x:v>Prop</x:v>
      </x:c>
      <x:c r="C57" s="2" t="str">
        <x:v>Labyrinth</x:v>
      </x:c>
      <x:c r="D57" s="4" t="str">
        <x:v>Local navigation marker, not a realm portal</x:v>
      </x:c>
      <x:c r="E57" s="6" t="n">
        <x:v>64</x:v>
      </x:c>
      <x:c r="F57" s="2" t="str">
        <x:v>static</x:v>
      </x:c>
      <x:c r="G57" s="4" t="str"/>
      <x:c r="H57" s="2" t="str">
        <x:v>Validated</x:v>
      </x:c>
      <x:c r="I57" s="2" t="str">
        <x:v>Pending</x:v>
      </x:c>
      <x:c r="J57" s="2" t="str">
        <x:v>Binding pending</x:v>
      </x:c>
      <x:c r="K57" s="2" t="str">
        <x:v>dungeon-master/Prop_Lab_DM_ReturnWaymarker.glb</x:v>
      </x:c>
      <x:c r="L57" s="2" t="str">
        <x:v>9787ce21f0e4ddf67c3d2d2d08f37709b6ab8026893766a9a4525cc0dc3273aa</x:v>
      </x:c>
      <x:c r="M57" s="16" t="n">
        <x:v>0</x:v>
      </x:c>
      <x:c r="N57" s="1" t="str">
        <x:v>n.a.</x:v>
      </x:c>
    </x:row>
    <x:row r="58" ht="38" customHeight="1">
      <x:c r="A58" s="2" t="str">
        <x:v>Prop_Lab_DM_RiftThreshold</x:v>
      </x:c>
      <x:c r="B58" s="2" t="str">
        <x:v>Prop</x:v>
      </x:c>
      <x:c r="C58" s="2" t="str">
        <x:v>Labyrinth</x:v>
      </x:c>
      <x:c r="D58" s="4" t="str">
        <x:v>Visual dungeon threshold; no automatic realm transfer</x:v>
      </x:c>
      <x:c r="E58" s="6" t="n">
        <x:v>84</x:v>
      </x:c>
      <x:c r="F58" s="2" t="str">
        <x:v>static</x:v>
      </x:c>
      <x:c r="G58" s="4" t="str"/>
      <x:c r="H58" s="2" t="str">
        <x:v>Validated</x:v>
      </x:c>
      <x:c r="I58" s="2" t="str">
        <x:v>Pending</x:v>
      </x:c>
      <x:c r="J58" s="2" t="str">
        <x:v>Binding pending</x:v>
      </x:c>
      <x:c r="K58" s="2" t="str">
        <x:v>dungeon-master/Prop_Lab_DM_RiftThreshold.glb</x:v>
      </x:c>
      <x:c r="L58" s="2" t="str">
        <x:v>0f9fa1b80d3fe808b3a113540d8bb0bd249a68402a12022c213b7c7721ffbb3d</x:v>
      </x:c>
      <x:c r="M58" s="16" t="n">
        <x:v>0</x:v>
      </x:c>
      <x:c r="N58" s="1" t="str">
        <x:v>n.a.</x:v>
      </x:c>
    </x:row>
    <x:row r="59" ht="38" customHeight="1">
      <x:c r="A59" s="2" t="str">
        <x:v>Prop_Lab_DM_PartyRally</x:v>
      </x:c>
      <x:c r="B59" s="2" t="str">
        <x:v>Prop</x:v>
      </x:c>
      <x:c r="C59" s="2" t="str">
        <x:v>Labyrinth</x:v>
      </x:c>
      <x:c r="D59" s="4" t="str">
        <x:v>Display party health and combat state</x:v>
      </x:c>
      <x:c r="E59" s="6" t="n">
        <x:v>248</x:v>
      </x:c>
      <x:c r="F59" s="2" t="str">
        <x:v>static</x:v>
      </x:c>
      <x:c r="G59" s="4" t="str"/>
      <x:c r="H59" s="2" t="str">
        <x:v>Validated</x:v>
      </x:c>
      <x:c r="I59" s="2" t="str">
        <x:v>Pending</x:v>
      </x:c>
      <x:c r="J59" s="2" t="str">
        <x:v>Binding pending</x:v>
      </x:c>
      <x:c r="K59" s="2" t="str">
        <x:v>dungeon-master/Prop_Lab_DM_PartyRally.glb</x:v>
      </x:c>
      <x:c r="L59" s="2" t="str">
        <x:v>b1715048ff420e20b09f13c8ccadb3244ffce0b81a36c55bc0698f7388023c55</x:v>
      </x:c>
      <x:c r="M59" s="16" t="n">
        <x:v>0</x:v>
      </x:c>
      <x:c r="N59" s="1" t="str">
        <x:v>n.a.</x:v>
      </x:c>
    </x:row>
    <x:row r="60" ht="38" customHeight="1">
      <x:c r="A60" s="2" t="str">
        <x:v>Prop_Lab_DM_RewardReliquary</x:v>
      </x:c>
      <x:c r="B60" s="2" t="str">
        <x:v>Prop</x:v>
      </x:c>
      <x:c r="C60" s="2" t="str">
        <x:v>Labyrinth</x:v>
      </x:c>
      <x:c r="D60" s="4" t="str">
        <x:v>Visual reward display; no client-side item grants</x:v>
      </x:c>
      <x:c r="E60" s="6" t="n">
        <x:v>60</x:v>
      </x:c>
      <x:c r="F60" s="2" t="str">
        <x:v>static</x:v>
      </x:c>
      <x:c r="G60" s="4" t="str"/>
      <x:c r="H60" s="2" t="str">
        <x:v>Validated</x:v>
      </x:c>
      <x:c r="I60" s="2" t="str">
        <x:v>Pending</x:v>
      </x:c>
      <x:c r="J60" s="2" t="str">
        <x:v>Binding pending</x:v>
      </x:c>
      <x:c r="K60" s="2" t="str">
        <x:v>dungeon-master/Prop_Lab_DM_RewardReliquary.glb</x:v>
      </x:c>
      <x:c r="L60" s="2" t="str">
        <x:v>e46a09fa3bab8ad96deee9187b365bfabc13b6ed1fa078beac449bcea4a689c8</x:v>
      </x:c>
      <x:c r="M60" s="16" t="n">
        <x:v>0</x:v>
      </x:c>
      <x:c r="N60" s="1" t="str">
        <x:v>n.a.</x:v>
      </x:c>
    </x:row>
    <x:row r="61" ht="38" customHeight="1">
      <x:c r="A61" s="2" t="str">
        <x:v>Prop_Lab_Halloween_PumpkinLantern</x:v>
      </x:c>
      <x:c r="B61" s="2" t="str">
        <x:v>Prop</x:v>
      </x:c>
      <x:c r="C61" s="2" t="str">
        <x:v>Labyrinth</x:v>
      </x:c>
      <x:c r="D61" s="4" t="str">
        <x:v>Labyrinth-exclusive Halloween scenery: PumpkinLantern</x:v>
      </x:c>
      <x:c r="E61" s="6" t="n">
        <x:v>332</x:v>
      </x:c>
      <x:c r="F61" s="2" t="str">
        <x:v>static</x:v>
      </x:c>
      <x:c r="G61" s="4" t="str"/>
      <x:c r="H61" s="2" t="str">
        <x:v>Validated</x:v>
      </x:c>
      <x:c r="I61" s="2" t="str">
        <x:v>Pending</x:v>
      </x:c>
      <x:c r="J61" s="2" t="str">
        <x:v>Binding pending</x:v>
      </x:c>
      <x:c r="K61" s="2" t="str">
        <x:v>halloween/Prop_Lab_Halloween_PumpkinLantern.glb</x:v>
      </x:c>
      <x:c r="L61" s="2" t="str">
        <x:v>db28a8536b7387dd313080e7d2e7306b2585e34c1967f8ba519a11a33b124810</x:v>
      </x:c>
      <x:c r="M61" s="16" t="n">
        <x:v>0</x:v>
      </x:c>
      <x:c r="N61" s="1" t="str">
        <x:v>n.a.</x:v>
      </x:c>
    </x:row>
    <x:row r="62" ht="38" customHeight="1">
      <x:c r="A62" s="2" t="str">
        <x:v>Prop_Lab_Halloween_SkullEffigy</x:v>
      </x:c>
      <x:c r="B62" s="2" t="str">
        <x:v>Prop</x:v>
      </x:c>
      <x:c r="C62" s="2" t="str">
        <x:v>Labyrinth</x:v>
      </x:c>
      <x:c r="D62" s="4" t="str">
        <x:v>Labyrinth-exclusive Halloween scenery: SkullEffigy</x:v>
      </x:c>
      <x:c r="E62" s="6" t="n">
        <x:v>420</x:v>
      </x:c>
      <x:c r="F62" s="2" t="str">
        <x:v>static</x:v>
      </x:c>
      <x:c r="G62" s="4" t="str"/>
      <x:c r="H62" s="2" t="str">
        <x:v>Validated</x:v>
      </x:c>
      <x:c r="I62" s="2" t="str">
        <x:v>Pending</x:v>
      </x:c>
      <x:c r="J62" s="2" t="str">
        <x:v>Binding pending</x:v>
      </x:c>
      <x:c r="K62" s="2" t="str">
        <x:v>halloween/Prop_Lab_Halloween_SkullEffigy.glb</x:v>
      </x:c>
      <x:c r="L62" s="2" t="str">
        <x:v>e2aef2d5e42e0b37b1367bfb159c321de0376c87b2000710eea989e8939cd385</x:v>
      </x:c>
      <x:c r="M62" s="16" t="n">
        <x:v>0</x:v>
      </x:c>
      <x:c r="N62" s="1" t="str">
        <x:v>n.a.</x:v>
      </x:c>
    </x:row>
    <x:row r="63" ht="38" customHeight="1">
      <x:c r="A63" s="2" t="str">
        <x:v>Prop_Lab_Halloween_Gravestone</x:v>
      </x:c>
      <x:c r="B63" s="2" t="str">
        <x:v>Prop</x:v>
      </x:c>
      <x:c r="C63" s="2" t="str">
        <x:v>Labyrinth</x:v>
      </x:c>
      <x:c r="D63" s="4" t="str">
        <x:v>Labyrinth-exclusive Halloween scenery: Gravestone</x:v>
      </x:c>
      <x:c r="E63" s="6" t="n">
        <x:v>296</x:v>
      </x:c>
      <x:c r="F63" s="2" t="str">
        <x:v>static</x:v>
      </x:c>
      <x:c r="G63" s="4" t="str"/>
      <x:c r="H63" s="2" t="str">
        <x:v>Validated</x:v>
      </x:c>
      <x:c r="I63" s="2" t="str">
        <x:v>Pending</x:v>
      </x:c>
      <x:c r="J63" s="2" t="str">
        <x:v>Binding pending</x:v>
      </x:c>
      <x:c r="K63" s="2" t="str">
        <x:v>halloween/Prop_Lab_Halloween_Gravestone.glb</x:v>
      </x:c>
      <x:c r="L63" s="2" t="str">
        <x:v>85bcf39d26346b9f611072a0b03a794ae4b4eac2e4ac3f96f0954b006033be17</x:v>
      </x:c>
      <x:c r="M63" s="16" t="n">
        <x:v>0</x:v>
      </x:c>
      <x:c r="N63" s="1" t="str">
        <x:v>n.a.</x:v>
      </x:c>
    </x:row>
    <x:row r="64" ht="38" customHeight="1">
      <x:c r="A64" s="2" t="str">
        <x:v>Prop_Lab_Halloween_Coffin</x:v>
      </x:c>
      <x:c r="B64" s="2" t="str">
        <x:v>Prop</x:v>
      </x:c>
      <x:c r="C64" s="2" t="str">
        <x:v>Labyrinth</x:v>
      </x:c>
      <x:c r="D64" s="4" t="str">
        <x:v>Labyrinth-exclusive Halloween scenery: Coffin</x:v>
      </x:c>
      <x:c r="E64" s="6" t="n">
        <x:v>220</x:v>
      </x:c>
      <x:c r="F64" s="2" t="str">
        <x:v>static</x:v>
      </x:c>
      <x:c r="G64" s="4" t="str"/>
      <x:c r="H64" s="2" t="str">
        <x:v>Validated</x:v>
      </x:c>
      <x:c r="I64" s="2" t="str">
        <x:v>Pending</x:v>
      </x:c>
      <x:c r="J64" s="2" t="str">
        <x:v>Binding pending</x:v>
      </x:c>
      <x:c r="K64" s="2" t="str">
        <x:v>halloween/Prop_Lab_Halloween_Coffin.glb</x:v>
      </x:c>
      <x:c r="L64" s="2" t="str">
        <x:v>e5e34fc5a86bcdef85f0241523a550ba806a9bbe620f1fe0c2adf627a5493cf0</x:v>
      </x:c>
      <x:c r="M64" s="16" t="n">
        <x:v>0</x:v>
      </x:c>
      <x:c r="N64" s="1" t="str">
        <x:v>n.a.</x:v>
      </x:c>
    </x:row>
    <x:row r="65" ht="38" customHeight="1">
      <x:c r="A65" s="2" t="str">
        <x:v>Prop_Lab_Halloween_Cauldron</x:v>
      </x:c>
      <x:c r="B65" s="2" t="str">
        <x:v>Prop</x:v>
      </x:c>
      <x:c r="C65" s="2" t="str">
        <x:v>Labyrinth</x:v>
      </x:c>
      <x:c r="D65" s="4" t="str">
        <x:v>Labyrinth-exclusive Halloween scenery: Cauldron</x:v>
      </x:c>
      <x:c r="E65" s="6" t="n">
        <x:v>776</x:v>
      </x:c>
      <x:c r="F65" s="2" t="str">
        <x:v>static</x:v>
      </x:c>
      <x:c r="G65" s="4" t="str"/>
      <x:c r="H65" s="2" t="str">
        <x:v>Validated</x:v>
      </x:c>
      <x:c r="I65" s="2" t="str">
        <x:v>Pending</x:v>
      </x:c>
      <x:c r="J65" s="2" t="str">
        <x:v>Binding pending</x:v>
      </x:c>
      <x:c r="K65" s="2" t="str">
        <x:v>halloween/Prop_Lab_Halloween_Cauldron.glb</x:v>
      </x:c>
      <x:c r="L65" s="2" t="str">
        <x:v>103f3bdff559c24118684fc78c6591d1147ca4ce4f005d769ea7e9cd55831c91</x:v>
      </x:c>
      <x:c r="M65" s="16" t="n">
        <x:v>0</x:v>
      </x:c>
      <x:c r="N65" s="1" t="str">
        <x:v>n.a.</x:v>
      </x:c>
    </x:row>
    <x:row r="66" ht="38" customHeight="1">
      <x:c r="A66" s="1" t="str">
        <x:v>Prop_Lab_Halloween_CandleCluster</x:v>
      </x:c>
      <x:c r="B66" s="1" t="str">
        <x:v>Prop</x:v>
      </x:c>
      <x:c r="C66" s="1" t="str">
        <x:v>Labyrinth</x:v>
      </x:c>
      <x:c r="D66" s="5" t="str">
        <x:v>Labyrinth-exclusive Halloween scenery: CandleCluster</x:v>
      </x:c>
      <x:c r="E66" s="7" t="n">
        <x:v>512</x:v>
      </x:c>
      <x:c r="F66" s="1" t="str">
        <x:v>static</x:v>
      </x:c>
      <x:c r="G66" s="5" t="str"/>
      <x:c r="H66" s="1" t="str">
        <x:v>Validated</x:v>
      </x:c>
      <x:c r="I66" s="1" t="str">
        <x:v>Pending</x:v>
      </x:c>
      <x:c r="J66" s="1" t="str">
        <x:v>Binding pending</x:v>
      </x:c>
      <x:c r="K66" s="1" t="str">
        <x:v>halloween/Prop_Lab_Halloween_CandleCluster.glb</x:v>
      </x:c>
      <x:c r="L66" s="1" t="str">
        <x:v>0c3861b58d3911f71e810ec532ffcdd049f2811b264e11cb03b14ca1b15f7db1</x:v>
      </x:c>
      <x:c r="M66" s="16" t="n">
        <x:v>0</x:v>
      </x:c>
      <x:c r="N66" s="1" t="str">
        <x:v>n.a.</x:v>
      </x:c>
    </x:row>
    <x:row r="67" ht="38" customHeight="1">
      <x:c r="A67" s="1" t="str">
        <x:v>Prop_Lab_Halloween_FriendlyGhostLantern</x:v>
      </x:c>
      <x:c r="B67" s="1" t="str">
        <x:v>Prop</x:v>
      </x:c>
      <x:c r="C67" s="1" t="str">
        <x:v>Labyrinth</x:v>
      </x:c>
      <x:c r="D67" s="5" t="str">
        <x:v>Labyrinth-exclusive Halloween scenery: FriendlyGhostLantern</x:v>
      </x:c>
      <x:c r="E67" s="7" t="n">
        <x:v>484</x:v>
      </x:c>
      <x:c r="F67" s="1" t="str">
        <x:v>static</x:v>
      </x:c>
      <x:c r="G67" s="5" t="str"/>
      <x:c r="H67" s="1" t="str">
        <x:v>Validated</x:v>
      </x:c>
      <x:c r="I67" s="1" t="str">
        <x:v>Pending</x:v>
      </x:c>
      <x:c r="J67" s="1" t="str">
        <x:v>Binding pending</x:v>
      </x:c>
      <x:c r="K67" s="1" t="str">
        <x:v>halloween/Prop_Lab_Halloween_FriendlyGhostLantern.glb</x:v>
      </x:c>
      <x:c r="L67" s="1" t="str">
        <x:v>701e9e141903d7b126f67fcfa688a5711fd067b5cb4056a4cf4fcd3f8a5c6030</x:v>
      </x:c>
      <x:c r="M67" s="16" t="n">
        <x:v>0</x:v>
      </x:c>
      <x:c r="N67" s="1" t="str">
        <x:v>n.a.</x:v>
      </x:c>
    </x:row>
    <x:row r="68" ht="38" customHeight="1">
      <x:c r="A68" s="1" t="str">
        <x:v>Prop_Lab_Halloween_WitchHatStand</x:v>
      </x:c>
      <x:c r="B68" s="1" t="str">
        <x:v>Prop</x:v>
      </x:c>
      <x:c r="C68" s="1" t="str">
        <x:v>Labyrinth</x:v>
      </x:c>
      <x:c r="D68" s="5" t="str">
        <x:v>Labyrinth-exclusive Halloween scenery: WitchHatStand</x:v>
      </x:c>
      <x:c r="E68" s="7" t="n">
        <x:v>326</x:v>
      </x:c>
      <x:c r="F68" s="1" t="str">
        <x:v>static</x:v>
      </x:c>
      <x:c r="G68" s="5" t="str"/>
      <x:c r="H68" s="1" t="str">
        <x:v>Validated</x:v>
      </x:c>
      <x:c r="I68" s="1" t="str">
        <x:v>Pending</x:v>
      </x:c>
      <x:c r="J68" s="1" t="str">
        <x:v>Binding pending</x:v>
      </x:c>
      <x:c r="K68" s="1" t="str">
        <x:v>halloween/Prop_Lab_Halloween_WitchHatStand.glb</x:v>
      </x:c>
      <x:c r="L68" s="1" t="str">
        <x:v>ac50ffeadb7c0b7d2f7da2b363053e2cbae8d945757c845627650b5c4d6478d1</x:v>
      </x:c>
      <x:c r="M68" s="16" t="n">
        <x:v>0</x:v>
      </x:c>
      <x:c r="N68" s="1" t="str">
        <x:v>n.a.</x:v>
      </x:c>
    </x:row>
    <x:row r="69" ht="38" customHeight="1">
      <x:c r="A69" s="1" t="str">
        <x:v>Prop_Lab_Halloween_CrowPerch</x:v>
      </x:c>
      <x:c r="B69" s="1" t="str">
        <x:v>Prop</x:v>
      </x:c>
      <x:c r="C69" s="1" t="str">
        <x:v>Labyrinth</x:v>
      </x:c>
      <x:c r="D69" s="5" t="str">
        <x:v>Labyrinth-exclusive Halloween scenery: CrowPerch</x:v>
      </x:c>
      <x:c r="E69" s="7" t="n">
        <x:v>390</x:v>
      </x:c>
      <x:c r="F69" s="1" t="str">
        <x:v>static</x:v>
      </x:c>
      <x:c r="G69" s="5" t="str"/>
      <x:c r="H69" s="1" t="str">
        <x:v>Validated</x:v>
      </x:c>
      <x:c r="I69" s="1" t="str">
        <x:v>Pending</x:v>
      </x:c>
      <x:c r="J69" s="1" t="str">
        <x:v>Binding pending</x:v>
      </x:c>
      <x:c r="K69" s="1" t="str">
        <x:v>halloween/Prop_Lab_Halloween_CrowPerch.glb</x:v>
      </x:c>
      <x:c r="L69" s="1" t="str">
        <x:v>e69b34487e5f19d59ee3a6ffac28b7b8c13c21fa80024626e16734766705101d</x:v>
      </x:c>
      <x:c r="M69" s="16" t="n">
        <x:v>0</x:v>
      </x:c>
      <x:c r="N69" s="1" t="str">
        <x:v>n.a.</x:v>
      </x:c>
    </x:row>
    <x:row r="70" ht="38" customHeight="1">
      <x:c r="A70" s="1" t="str">
        <x:v>Prop_Lab_Halloween_CobwebFrame</x:v>
      </x:c>
      <x:c r="B70" s="1" t="str">
        <x:v>Prop</x:v>
      </x:c>
      <x:c r="C70" s="1" t="str">
        <x:v>Labyrinth</x:v>
      </x:c>
      <x:c r="D70" s="5" t="str">
        <x:v>Labyrinth-exclusive Halloween scenery: CobwebFrame</x:v>
      </x:c>
      <x:c r="E70" s="7" t="n">
        <x:v>1084</x:v>
      </x:c>
      <x:c r="F70" s="1" t="str">
        <x:v>static</x:v>
      </x:c>
      <x:c r="G70" s="5" t="str"/>
      <x:c r="H70" s="1" t="str">
        <x:v>Validated</x:v>
      </x:c>
      <x:c r="I70" s="1" t="str">
        <x:v>Pending</x:v>
      </x:c>
      <x:c r="J70" s="1" t="str">
        <x:v>Binding pending</x:v>
      </x:c>
      <x:c r="K70" s="1" t="str">
        <x:v>halloween/Prop_Lab_Halloween_CobwebFrame.glb</x:v>
      </x:c>
      <x:c r="L70" s="1" t="str">
        <x:v>39794c3573854ee35fe9fde63a2d2d7d79f5cbffc333c51aefdd6a411bf796c8</x:v>
      </x:c>
      <x:c r="M70" s="16" t="n">
        <x:v>0</x:v>
      </x:c>
      <x:c r="N70" s="1" t="str">
        <x:v>n.a.</x:v>
      </x:c>
    </x:row>
    <x:row r="71" ht="38" customHeight="1">
      <x:c r="A71" s="1" t="str">
        <x:v>Prop_Lab_Halloween_CryptGate</x:v>
      </x:c>
      <x:c r="B71" s="1" t="str">
        <x:v>Prop</x:v>
      </x:c>
      <x:c r="C71" s="1" t="str">
        <x:v>Labyrinth</x:v>
      </x:c>
      <x:c r="D71" s="5" t="str">
        <x:v>Labyrinth-exclusive Halloween scenery: CryptGate</x:v>
      </x:c>
      <x:c r="E71" s="7" t="n">
        <x:v>320</x:v>
      </x:c>
      <x:c r="F71" s="1" t="str">
        <x:v>static</x:v>
      </x:c>
      <x:c r="G71" s="5" t="str"/>
      <x:c r="H71" s="1" t="str">
        <x:v>Validated</x:v>
      </x:c>
      <x:c r="I71" s="1" t="str">
        <x:v>Pending</x:v>
      </x:c>
      <x:c r="J71" s="1" t="str">
        <x:v>Binding pending</x:v>
      </x:c>
      <x:c r="K71" s="1" t="str">
        <x:v>halloween/Prop_Lab_Halloween_CryptGate.glb</x:v>
      </x:c>
      <x:c r="L71" s="1" t="str">
        <x:v>4723bd4af08b65f72afbf1ff2a2fe47a51572412fef9a58ec6551ff1fec07785</x:v>
      </x:c>
      <x:c r="M71" s="16" t="n">
        <x:v>0</x:v>
      </x:c>
      <x:c r="N71" s="1" t="str">
        <x:v>n.a.</x:v>
      </x:c>
    </x:row>
    <x:row r="72" ht="38" customHeight="1">
      <x:c r="A72" s="1" t="str">
        <x:v>Prop_Lab_Halloween_PumpkinCrate</x:v>
      </x:c>
      <x:c r="B72" s="1" t="str">
        <x:v>Prop</x:v>
      </x:c>
      <x:c r="C72" s="1" t="str">
        <x:v>Labyrinth</x:v>
      </x:c>
      <x:c r="D72" s="5" t="str">
        <x:v>Labyrinth-exclusive Halloween scenery: PumpkinCrate</x:v>
      </x:c>
      <x:c r="E72" s="7" t="n">
        <x:v>664</x:v>
      </x:c>
      <x:c r="F72" s="1" t="str">
        <x:v>static</x:v>
      </x:c>
      <x:c r="G72" s="5" t="str"/>
      <x:c r="H72" s="1" t="str">
        <x:v>Validated</x:v>
      </x:c>
      <x:c r="I72" s="1" t="str">
        <x:v>Pending</x:v>
      </x:c>
      <x:c r="J72" s="1" t="str">
        <x:v>Binding pending</x:v>
      </x:c>
      <x:c r="K72" s="1" t="str">
        <x:v>halloween/Prop_Lab_Halloween_PumpkinCrate.glb</x:v>
      </x:c>
      <x:c r="L72" s="1" t="str">
        <x:v>bc0c500da953fe2dd5b69ee5e8f3d8837dfd9fd049f9faf93d7e7baab23c8758</x:v>
      </x:c>
      <x:c r="M72" s="16" t="n">
        <x:v>0</x:v>
      </x:c>
      <x:c r="N72" s="1" t="str">
        <x:v>n.a.</x:v>
      </x:c>
    </x:row>
    <x:row r="73" ht="38" customHeight="1">
      <x:c r="A73" s="2" t="str">
        <x:v>Mob_Portal_Knight</x:v>
      </x:c>
      <x:c r="B73" s="2" t="str">
        <x:v>Character</x:v>
      </x:c>
      <x:c r="C73" s="2" t="str">
        <x:v>Portal Realm</x:v>
      </x:c>
      <x:c r="D73" s="4" t="str">
        <x:v>Hero form: armoured sword and shield</x:v>
      </x:c>
      <x:c r="E73" s="6" t="n">
        <x:v>1244</x:v>
      </x:c>
      <x:c r="F73" s="2" t="str">
        <x:v>PortalHumanoidV1</x:v>
      </x:c>
      <x:c r="G73" s="4" t="str">
        <x:v>Idle, Walk, Attack, Hurt</x:v>
      </x:c>
      <x:c r="H73" s="2" t="str">
        <x:v>Validated</x:v>
      </x:c>
      <x:c r="I73" s="2" t="str">
        <x:v>Pending</x:v>
      </x:c>
      <x:c r="J73" s="2" t="str">
        <x:v>Binding pending</x:v>
      </x:c>
      <x:c r="K73" s="2" t="str">
        <x:v>portal-buildout/cast/Mob_Portal_Knight.glb</x:v>
      </x:c>
      <x:c r="L73" s="2" t="str">
        <x:v>4ee5a3da98d8dfc4dce0948be8734489f3e68337f9bbc6eedbd83fc98ebb013b</x:v>
      </x:c>
      <x:c r="M73" s="17" t="n">
        <x:v>1</x:v>
      </x:c>
      <x:c r="N73" s="2" t="str">
        <x:v>n.a.</x:v>
      </x:c>
    </x:row>
    <x:row r="74" ht="38" customHeight="1">
      <x:c r="A74" s="2" t="str">
        <x:v>Mob_Portal_Tinker</x:v>
      </x:c>
      <x:c r="B74" s="2" t="str">
        <x:v>Character</x:v>
      </x:c>
      <x:c r="C74" s="2" t="str">
        <x:v>Portal Realm</x:v>
      </x:c>
      <x:c r="D74" s="4" t="str">
        <x:v>Hero form: tools and mechanical pack</x:v>
      </x:c>
      <x:c r="E74" s="6" t="n">
        <x:v>1216</x:v>
      </x:c>
      <x:c r="F74" s="2" t="str">
        <x:v>PortalHumanoidV1</x:v>
      </x:c>
      <x:c r="G74" s="4" t="str">
        <x:v>Idle, Walk, Attack, Hurt</x:v>
      </x:c>
      <x:c r="H74" s="2" t="str">
        <x:v>Validated</x:v>
      </x:c>
      <x:c r="I74" s="2" t="str">
        <x:v>Pending</x:v>
      </x:c>
      <x:c r="J74" s="2" t="str">
        <x:v>Binding pending</x:v>
      </x:c>
      <x:c r="K74" s="2" t="str">
        <x:v>portal-buildout/cast/Mob_Portal_Tinker.glb</x:v>
      </x:c>
      <x:c r="L74" s="2" t="str">
        <x:v>72721b303cc73e1b3035884f2c4e571550356adfb578719a44e0a5680817b35a</x:v>
      </x:c>
      <x:c r="M74" s="17" t="n">
        <x:v>1</x:v>
      </x:c>
      <x:c r="N74" s="2" t="str">
        <x:v>n.a.</x:v>
      </x:c>
    </x:row>
    <x:row r="75" ht="38" customHeight="1">
      <x:c r="A75" s="2" t="str">
        <x:v>Mob_Portal_Herbalist</x:v>
      </x:c>
      <x:c r="B75" s="2" t="str">
        <x:v>Character</x:v>
      </x:c>
      <x:c r="C75" s="2" t="str">
        <x:v>Portal Realm</x:v>
      </x:c>
      <x:c r="D75" s="4" t="str">
        <x:v>Hero form: staff and ingredient satchel</x:v>
      </x:c>
      <x:c r="E75" s="6" t="n">
        <x:v>1128</x:v>
      </x:c>
      <x:c r="F75" s="2" t="str">
        <x:v>PortalHumanoidV1</x:v>
      </x:c>
      <x:c r="G75" s="4" t="str">
        <x:v>Idle, Walk, Attack, Hurt</x:v>
      </x:c>
      <x:c r="H75" s="2" t="str">
        <x:v>Validated</x:v>
      </x:c>
      <x:c r="I75" s="2" t="str">
        <x:v>Pending</x:v>
      </x:c>
      <x:c r="J75" s="2" t="str">
        <x:v>Binding pending</x:v>
      </x:c>
      <x:c r="K75" s="2" t="str">
        <x:v>portal-buildout/cast/Mob_Portal_Herbalist.glb</x:v>
      </x:c>
      <x:c r="L75" s="2" t="str">
        <x:v>a72a9b7775b2dd4419231993dc580d3ce186f590eb477dc84d0a3744f39e8456</x:v>
      </x:c>
      <x:c r="M75" s="17" t="n">
        <x:v>1</x:v>
      </x:c>
      <x:c r="N75" s="2" t="str">
        <x:v>n.a.</x:v>
      </x:c>
    </x:row>
    <x:row r="76" ht="38" customHeight="1">
      <x:c r="A76" s="2" t="str">
        <x:v>Mob_Portal_Bard</x:v>
      </x:c>
      <x:c r="B76" s="2" t="str">
        <x:v>Character</x:v>
      </x:c>
      <x:c r="C76" s="2" t="str">
        <x:v>Portal Realm</x:v>
      </x:c>
      <x:c r="D76" s="4" t="str">
        <x:v>Hero form: instrument and travel coat</x:v>
      </x:c>
      <x:c r="E76" s="6" t="n">
        <x:v>1128</x:v>
      </x:c>
      <x:c r="F76" s="2" t="str">
        <x:v>PortalHumanoidV1</x:v>
      </x:c>
      <x:c r="G76" s="4" t="str">
        <x:v>Idle, Walk, Attack, Hurt</x:v>
      </x:c>
      <x:c r="H76" s="2" t="str">
        <x:v>Validated</x:v>
      </x:c>
      <x:c r="I76" s="2" t="str">
        <x:v>Pending</x:v>
      </x:c>
      <x:c r="J76" s="2" t="str">
        <x:v>Binding pending</x:v>
      </x:c>
      <x:c r="K76" s="2" t="str">
        <x:v>portal-buildout/cast/Mob_Portal_Bard.glb</x:v>
      </x:c>
      <x:c r="L76" s="2" t="str">
        <x:v>4ccb7276a53f04a6fba95a58ee86a56f2ab4b731606a6cb5c3ce12f7d92a6e53</x:v>
      </x:c>
      <x:c r="M76" s="17" t="n">
        <x:v>1</x:v>
      </x:c>
      <x:c r="N76" s="2" t="str">
        <x:v>n.a.</x:v>
      </x:c>
    </x:row>
    <x:row r="77" ht="38" customHeight="1">
      <x:c r="A77" s="2" t="str">
        <x:v>Mob_Portal_InnkeeperRusk</x:v>
      </x:c>
      <x:c r="B77" s="2" t="str">
        <x:v>Character</x:v>
      </x:c>
      <x:c r="C77" s="2" t="str">
        <x:v>Portal Realm</x:v>
      </x:c>
      <x:c r="D77" s="4" t="str">
        <x:v>Inn and rest</x:v>
      </x:c>
      <x:c r="E77" s="6" t="n">
        <x:v>972</x:v>
      </x:c>
      <x:c r="F77" s="2" t="str">
        <x:v>PortalHumanoidV1</x:v>
      </x:c>
      <x:c r="G77" s="4" t="str">
        <x:v>Idle, Walk, Attack, Hurt</x:v>
      </x:c>
      <x:c r="H77" s="2" t="str">
        <x:v>Validated</x:v>
      </x:c>
      <x:c r="I77" s="2" t="str">
        <x:v>Pending</x:v>
      </x:c>
      <x:c r="J77" s="2" t="str">
        <x:v>Binding pending</x:v>
      </x:c>
      <x:c r="K77" s="2" t="str">
        <x:v>portal-buildout/cast/Mob_Portal_InnkeeperRusk.glb</x:v>
      </x:c>
      <x:c r="L77" s="2" t="str">
        <x:v>921f12ff034598414fd8f22411adfa784f0b9234207ebac7096344f690d78b01</x:v>
      </x:c>
      <x:c r="M77" s="17" t="n">
        <x:v>1</x:v>
      </x:c>
      <x:c r="N77" s="2" t="str">
        <x:v>n.a.</x:v>
      </x:c>
    </x:row>
    <x:row r="78" ht="38" customHeight="1">
      <x:c r="A78" s="2" t="str">
        <x:v>Mob_Portal_SmithGarra</x:v>
      </x:c>
      <x:c r="B78" s="2" t="str">
        <x:v>Character</x:v>
      </x:c>
      <x:c r="C78" s="2" t="str">
        <x:v>Portal Realm</x:v>
      </x:c>
      <x:c r="D78" s="4" t="str">
        <x:v>Equipment upgrades</x:v>
      </x:c>
      <x:c r="E78" s="6" t="n">
        <x:v>980</x:v>
      </x:c>
      <x:c r="F78" s="2" t="str">
        <x:v>PortalHumanoidV1</x:v>
      </x:c>
      <x:c r="G78" s="4" t="str">
        <x:v>Idle, Walk, Attack, Hurt</x:v>
      </x:c>
      <x:c r="H78" s="2" t="str">
        <x:v>Validated</x:v>
      </x:c>
      <x:c r="I78" s="2" t="str">
        <x:v>Pending</x:v>
      </x:c>
      <x:c r="J78" s="2" t="str">
        <x:v>Binding pending</x:v>
      </x:c>
      <x:c r="K78" s="2" t="str">
        <x:v>portal-buildout/cast/Mob_Portal_SmithGarra.glb</x:v>
      </x:c>
      <x:c r="L78" s="2" t="str">
        <x:v>b867c1af8bf453a3b310fe14c60068bfcfce634c1d76b5c56b59e2847769f863</x:v>
      </x:c>
      <x:c r="M78" s="17" t="n">
        <x:v>1</x:v>
      </x:c>
      <x:c r="N78" s="2" t="str">
        <x:v>n.a.</x:v>
      </x:c>
    </x:row>
    <x:row r="79" ht="38" customHeight="1">
      <x:c r="A79" s="2" t="str">
        <x:v>Mob_Portal_ItemShopPim</x:v>
      </x:c>
      <x:c r="B79" s="2" t="str">
        <x:v>Character</x:v>
      </x:c>
      <x:c r="C79" s="2" t="str">
        <x:v>Portal Realm</x:v>
      </x:c>
      <x:c r="D79" s="4" t="str">
        <x:v>Realm supplies</x:v>
      </x:c>
      <x:c r="E79" s="6" t="n">
        <x:v>980</x:v>
      </x:c>
      <x:c r="F79" s="2" t="str">
        <x:v>PortalHumanoidV1</x:v>
      </x:c>
      <x:c r="G79" s="4" t="str">
        <x:v>Idle, Walk, Attack, Hurt</x:v>
      </x:c>
      <x:c r="H79" s="2" t="str">
        <x:v>Validated</x:v>
      </x:c>
      <x:c r="I79" s="2" t="str">
        <x:v>Pending</x:v>
      </x:c>
      <x:c r="J79" s="2" t="str">
        <x:v>Binding pending</x:v>
      </x:c>
      <x:c r="K79" s="2" t="str">
        <x:v>portal-buildout/cast/Mob_Portal_ItemShopPim.glb</x:v>
      </x:c>
      <x:c r="L79" s="2" t="str">
        <x:v>fcbdd2bcc2fb81c10124c9a6ae12c450df71fbf9429e85d49269efdd53917c5e</x:v>
      </x:c>
      <x:c r="M79" s="17" t="n">
        <x:v>1</x:v>
      </x:c>
      <x:c r="N79" s="2" t="str">
        <x:v>n.a.</x:v>
      </x:c>
    </x:row>
    <x:row r="80" ht="38" customHeight="1">
      <x:c r="A80" s="2" t="str">
        <x:v>Mob_Portal_QueenOfCinders</x:v>
      </x:c>
      <x:c r="B80" s="2" t="str">
        <x:v>Character</x:v>
      </x:c>
      <x:c r="C80" s="2" t="str">
        <x:v>Portal Realm</x:v>
      </x:c>
      <x:c r="D80" s="4" t="str">
        <x:v>Castle quest giver</x:v>
      </x:c>
      <x:c r="E80" s="6" t="n">
        <x:v>1026</x:v>
      </x:c>
      <x:c r="F80" s="2" t="str">
        <x:v>PortalHumanoidV1</x:v>
      </x:c>
      <x:c r="G80" s="4" t="str">
        <x:v>Idle, Walk, Attack, Hurt</x:v>
      </x:c>
      <x:c r="H80" s="2" t="str">
        <x:v>Validated</x:v>
      </x:c>
      <x:c r="I80" s="2" t="str">
        <x:v>Pending</x:v>
      </x:c>
      <x:c r="J80" s="2" t="str">
        <x:v>Binding pending</x:v>
      </x:c>
      <x:c r="K80" s="2" t="str">
        <x:v>portal-buildout/cast/Mob_Portal_QueenOfCinders.glb</x:v>
      </x:c>
      <x:c r="L80" s="2" t="str">
        <x:v>bdf965cbba75eeb56b3113206a6bce53775db15c61aa8cef1df4eb544ff9c8d7</x:v>
      </x:c>
      <x:c r="M80" s="17" t="n">
        <x:v>1</x:v>
      </x:c>
      <x:c r="N80" s="2" t="str">
        <x:v>n.a.</x:v>
      </x:c>
    </x:row>
    <x:row r="81" ht="38" customHeight="1">
      <x:c r="A81" s="2" t="str">
        <x:v>Mob_Portal_RoyalScribe</x:v>
      </x:c>
      <x:c r="B81" s="2" t="str">
        <x:v>Character</x:v>
      </x:c>
      <x:c r="C81" s="2" t="str">
        <x:v>Portal Realm</x:v>
      </x:c>
      <x:c r="D81" s="4" t="str">
        <x:v>Save point presentation</x:v>
      </x:c>
      <x:c r="E81" s="6" t="n">
        <x:v>980</x:v>
      </x:c>
      <x:c r="F81" s="2" t="str">
        <x:v>PortalHumanoidV1</x:v>
      </x:c>
      <x:c r="G81" s="4" t="str">
        <x:v>Idle, Walk, Attack, Hurt</x:v>
      </x:c>
      <x:c r="H81" s="2" t="str">
        <x:v>Validated</x:v>
      </x:c>
      <x:c r="I81" s="2" t="str">
        <x:v>Pending</x:v>
      </x:c>
      <x:c r="J81" s="2" t="str">
        <x:v>Binding pending</x:v>
      </x:c>
      <x:c r="K81" s="2" t="str">
        <x:v>portal-buildout/cast/Mob_Portal_RoyalScribe.glb</x:v>
      </x:c>
      <x:c r="L81" s="2" t="str">
        <x:v>112bb1c4b927563c453085922b3e1a2bb589eac2a360822f6501b573f4741f57</x:v>
      </x:c>
      <x:c r="M81" s="17" t="n">
        <x:v>1</x:v>
      </x:c>
      <x:c r="N81" s="2" t="str">
        <x:v>n.a.</x:v>
      </x:c>
    </x:row>
    <x:row r="82" ht="38" customHeight="1">
      <x:c r="A82" s="2" t="str">
        <x:v>Mob_Portal_FortuneTeller</x:v>
      </x:c>
      <x:c r="B82" s="2" t="str">
        <x:v>Character</x:v>
      </x:c>
      <x:c r="C82" s="2" t="str">
        <x:v>Portal Realm</x:v>
      </x:c>
      <x:c r="D82" s="4" t="str">
        <x:v>Clues and risk guidance</x:v>
      </x:c>
      <x:c r="E82" s="6" t="n">
        <x:v>1092</x:v>
      </x:c>
      <x:c r="F82" s="2" t="str">
        <x:v>PortalHumanoidV1</x:v>
      </x:c>
      <x:c r="G82" s="4" t="str">
        <x:v>Idle, Walk, Attack, Hurt</x:v>
      </x:c>
      <x:c r="H82" s="2" t="str">
        <x:v>Validated</x:v>
      </x:c>
      <x:c r="I82" s="2" t="str">
        <x:v>Pending</x:v>
      </x:c>
      <x:c r="J82" s="2" t="str">
        <x:v>Binding pending</x:v>
      </x:c>
      <x:c r="K82" s="2" t="str">
        <x:v>portal-buildout/cast/Mob_Portal_FortuneTeller.glb</x:v>
      </x:c>
      <x:c r="L82" s="2" t="str">
        <x:v>7f769805024eba59d61db09016037d1d7db9773a9c28103fa9c02dc054912d72</x:v>
      </x:c>
      <x:c r="M82" s="17" t="n">
        <x:v>1</x:v>
      </x:c>
      <x:c r="N82" s="2" t="str">
        <x:v>n.a.</x:v>
      </x:c>
    </x:row>
    <x:row r="83" ht="38" customHeight="1">
      <x:c r="A83" s="2" t="str">
        <x:v>Mob_Portal_Keymaker</x:v>
      </x:c>
      <x:c r="B83" s="2" t="str">
        <x:v>Character</x:v>
      </x:c>
      <x:c r="C83" s="2" t="str">
        <x:v>Portal Realm</x:v>
      </x:c>
      <x:c r="D83" s="4" t="str">
        <x:v>Lock and key guidance</x:v>
      </x:c>
      <x:c r="E83" s="6" t="n">
        <x:v>1172</x:v>
      </x:c>
      <x:c r="F83" s="2" t="str">
        <x:v>PortalHumanoidV1</x:v>
      </x:c>
      <x:c r="G83" s="4" t="str">
        <x:v>Idle, Walk, Attack, Hurt</x:v>
      </x:c>
      <x:c r="H83" s="2" t="str">
        <x:v>Validated</x:v>
      </x:c>
      <x:c r="I83" s="2" t="str">
        <x:v>Pending</x:v>
      </x:c>
      <x:c r="J83" s="2" t="str">
        <x:v>Binding pending</x:v>
      </x:c>
      <x:c r="K83" s="2" t="str">
        <x:v>portal-buildout/cast/Mob_Portal_Keymaker.glb</x:v>
      </x:c>
      <x:c r="L83" s="2" t="str">
        <x:v>ad510338c749152e0a53e156efa03d3c8d610f493f0b146b5616aaca3a888922</x:v>
      </x:c>
      <x:c r="M83" s="17" t="n">
        <x:v>1</x:v>
      </x:c>
      <x:c r="N83" s="2" t="str">
        <x:v>n.a.</x:v>
      </x:c>
    </x:row>
    <x:row r="84" ht="38" customHeight="1">
      <x:c r="A84" s="2" t="str">
        <x:v>Mob_Portal_WellChild</x:v>
      </x:c>
      <x:c r="B84" s="2" t="str">
        <x:v>Character</x:v>
      </x:c>
      <x:c r="C84" s="2" t="str">
        <x:v>Portal Realm</x:v>
      </x:c>
      <x:c r="D84" s="4" t="str">
        <x:v>Water and town hints</x:v>
      </x:c>
      <x:c r="E84" s="6" t="n">
        <x:v>972</x:v>
      </x:c>
      <x:c r="F84" s="2" t="str">
        <x:v>PortalHumanoidV1</x:v>
      </x:c>
      <x:c r="G84" s="4" t="str">
        <x:v>Idle, Walk, Attack, Hurt</x:v>
      </x:c>
      <x:c r="H84" s="2" t="str">
        <x:v>Validated</x:v>
      </x:c>
      <x:c r="I84" s="2" t="str">
        <x:v>Pending</x:v>
      </x:c>
      <x:c r="J84" s="2" t="str">
        <x:v>Binding pending</x:v>
      </x:c>
      <x:c r="K84" s="2" t="str">
        <x:v>portal-buildout/cast/Mob_Portal_WellChild.glb</x:v>
      </x:c>
      <x:c r="L84" s="2" t="str">
        <x:v>36ac6949e330d5077f416078b8918e00ac419b7e33a8697c6ebab2b062919ece</x:v>
      </x:c>
      <x:c r="M84" s="17" t="n">
        <x:v>1</x:v>
      </x:c>
      <x:c r="N84" s="2" t="str">
        <x:v>n.a.</x:v>
      </x:c>
    </x:row>
    <x:row r="85" ht="38" customHeight="1">
      <x:c r="A85" s="2" t="str">
        <x:v>Mob_Portal_NightWatch</x:v>
      </x:c>
      <x:c r="B85" s="2" t="str">
        <x:v>Character</x:v>
      </x:c>
      <x:c r="C85" s="2" t="str">
        <x:v>Portal Realm</x:v>
      </x:c>
      <x:c r="D85" s="4" t="str">
        <x:v>Town safety and travel clues</x:v>
      </x:c>
      <x:c r="E85" s="6" t="n">
        <x:v>1262</x:v>
      </x:c>
      <x:c r="F85" s="2" t="str">
        <x:v>PortalHumanoidV1</x:v>
      </x:c>
      <x:c r="G85" s="4" t="str">
        <x:v>Idle, Walk, Attack, Hurt</x:v>
      </x:c>
      <x:c r="H85" s="2" t="str">
        <x:v>Validated</x:v>
      </x:c>
      <x:c r="I85" s="2" t="str">
        <x:v>Pending</x:v>
      </x:c>
      <x:c r="J85" s="2" t="str">
        <x:v>Binding pending</x:v>
      </x:c>
      <x:c r="K85" s="2" t="str">
        <x:v>portal-buildout/cast/Mob_Portal_NightWatch.glb</x:v>
      </x:c>
      <x:c r="L85" s="2" t="str">
        <x:v>89a3165747246cc1491857b72a73835706dfd026f2123abefdd0a01d93a610e7</x:v>
      </x:c>
      <x:c r="M85" s="17" t="n">
        <x:v>1</x:v>
      </x:c>
      <x:c r="N85" s="2" t="str">
        <x:v>n.a.</x:v>
      </x:c>
    </x:row>
    <x:row r="86" ht="38" customHeight="1">
      <x:c r="A86" s="2" t="str">
        <x:v>Mob_Portal_RetiredHero</x:v>
      </x:c>
      <x:c r="B86" s="2" t="str">
        <x:v>Character</x:v>
      </x:c>
      <x:c r="C86" s="2" t="str">
        <x:v>Portal Realm</x:v>
      </x:c>
      <x:c r="D86" s="4" t="str">
        <x:v>Optional veteran quest</x:v>
      </x:c>
      <x:c r="E86" s="6" t="n">
        <x:v>1332</x:v>
      </x:c>
      <x:c r="F86" s="2" t="str">
        <x:v>PortalHumanoidV1</x:v>
      </x:c>
      <x:c r="G86" s="4" t="str">
        <x:v>Idle, Walk, Attack, Hurt</x:v>
      </x:c>
      <x:c r="H86" s="2" t="str">
        <x:v>Validated</x:v>
      </x:c>
      <x:c r="I86" s="2" t="str">
        <x:v>Pending</x:v>
      </x:c>
      <x:c r="J86" s="2" t="str">
        <x:v>Binding pending</x:v>
      </x:c>
      <x:c r="K86" s="2" t="str">
        <x:v>portal-buildout/cast/Mob_Portal_RetiredHero.glb</x:v>
      </x:c>
      <x:c r="L86" s="2" t="str">
        <x:v>72abe560c9f0ce616d1a97d7587f2e5412ddca2c579a2a92e346fd99d945e9c7</x:v>
      </x:c>
      <x:c r="M86" s="17" t="n">
        <x:v>1</x:v>
      </x:c>
      <x:c r="N86" s="2" t="str">
        <x:v>n.a.</x:v>
      </x:c>
    </x:row>
    <x:row r="87" ht="38" customHeight="1">
      <x:c r="A87" s="2" t="str">
        <x:v>Mob_Portal_FerryWoman</x:v>
      </x:c>
      <x:c r="B87" s="2" t="str">
        <x:v>Character</x:v>
      </x:c>
      <x:c r="C87" s="2" t="str">
        <x:v>Portal Realm</x:v>
      </x:c>
      <x:c r="D87" s="4" t="str">
        <x:v>Water crossing role</x:v>
      </x:c>
      <x:c r="E87" s="6" t="n">
        <x:v>972</x:v>
      </x:c>
      <x:c r="F87" s="2" t="str">
        <x:v>PortalHumanoidV1</x:v>
      </x:c>
      <x:c r="G87" s="4" t="str">
        <x:v>Idle, Walk, Attack, Hurt</x:v>
      </x:c>
      <x:c r="H87" s="2" t="str">
        <x:v>Validated</x:v>
      </x:c>
      <x:c r="I87" s="2" t="str">
        <x:v>Pending</x:v>
      </x:c>
      <x:c r="J87" s="2" t="str">
        <x:v>Binding pending</x:v>
      </x:c>
      <x:c r="K87" s="2" t="str">
        <x:v>portal-buildout/cast/Mob_Portal_FerryWoman.glb</x:v>
      </x:c>
      <x:c r="L87" s="2" t="str">
        <x:v>ca75a913d72be3348c5b862c887c55003be7a39155835394b3121952c359717b</x:v>
      </x:c>
      <x:c r="M87" s="17" t="n">
        <x:v>1</x:v>
      </x:c>
      <x:c r="N87" s="2" t="str">
        <x:v>n.a.</x:v>
      </x:c>
    </x:row>
    <x:row r="88" ht="38" customHeight="1">
      <x:c r="A88" s="2" t="str">
        <x:v>Mob_Portal_TavernBard</x:v>
      </x:c>
      <x:c r="B88" s="2" t="str">
        <x:v>Character</x:v>
      </x:c>
      <x:c r="C88" s="2" t="str">
        <x:v>Portal Realm</x:v>
      </x:c>
      <x:c r="D88" s="4" t="str">
        <x:v>Touring jukebox cue role</x:v>
      </x:c>
      <x:c r="E88" s="6" t="n">
        <x:v>1400</x:v>
      </x:c>
      <x:c r="F88" s="2" t="str">
        <x:v>PortalHumanoidV1</x:v>
      </x:c>
      <x:c r="G88" s="4" t="str">
        <x:v>Idle, Walk, Attack, Hurt</x:v>
      </x:c>
      <x:c r="H88" s="2" t="str">
        <x:v>Validated</x:v>
      </x:c>
      <x:c r="I88" s="2" t="str">
        <x:v>Pending</x:v>
      </x:c>
      <x:c r="J88" s="2" t="str">
        <x:v>Binding pending</x:v>
      </x:c>
      <x:c r="K88" s="2" t="str">
        <x:v>portal-buildout/cast/Mob_Portal_TavernBard.glb</x:v>
      </x:c>
      <x:c r="L88" s="2" t="str">
        <x:v>1555f0edaad11e0552c17e4fdf182bf7a983701dff03fcb54082c027ec13099b</x:v>
      </x:c>
      <x:c r="M88" s="17" t="n">
        <x:v>1</x:v>
      </x:c>
      <x:c r="N88" s="2" t="str">
        <x:v>n.a.</x:v>
      </x:c>
    </x:row>
    <x:row r="89" ht="38" customHeight="1">
      <x:c r="A89" s="2" t="str">
        <x:v>Mob_Portal_BLIGHT_SLIME_T1</x:v>
      </x:c>
      <x:c r="B89" s="2" t="str">
        <x:v>Character</x:v>
      </x:c>
      <x:c r="C89" s="2" t="str">
        <x:v>Portal Realm</x:v>
      </x:c>
      <x:c r="D89" s="4" t="str">
        <x:v>Encounter visual: BLIGHT SLIME</x:v>
      </x:c>
      <x:c r="E89" s="6" t="n">
        <x:v>308</x:v>
      </x:c>
      <x:c r="F89" s="2" t="str">
        <x:v>PortalCreatureV1</x:v>
      </x:c>
      <x:c r="G89" s="4" t="str">
        <x:v>Idle, Walk, Attack, Hurt</x:v>
      </x:c>
      <x:c r="H89" s="2" t="str">
        <x:v>Validated</x:v>
      </x:c>
      <x:c r="I89" s="2" t="str">
        <x:v>Pending</x:v>
      </x:c>
      <x:c r="J89" s="2" t="str">
        <x:v>Binding pending</x:v>
      </x:c>
      <x:c r="K89" s="2" t="str">
        <x:v>portal-buildout/monsters/Mob_Portal_BLIGHT_SLIME_T1.glb</x:v>
      </x:c>
      <x:c r="L89" s="2" t="str">
        <x:v>59eb785d4242a26466414deeaaeca5da4a9c14bf54dd1d95358b7261a411a5ec</x:v>
      </x:c>
      <x:c r="M89" s="17" t="n">
        <x:v>1</x:v>
      </x:c>
      <x:c r="N89" s="2" t="str">
        <x:v>BLIGHT_SLIME</x:v>
      </x:c>
    </x:row>
    <x:row r="90" ht="38" customHeight="1">
      <x:c r="A90" s="2" t="str">
        <x:v>Mob_Portal_BLIGHT_SLIME_T2</x:v>
      </x:c>
      <x:c r="B90" s="2" t="str">
        <x:v>Character</x:v>
      </x:c>
      <x:c r="C90" s="2" t="str">
        <x:v>Portal Realm</x:v>
      </x:c>
      <x:c r="D90" s="4" t="str">
        <x:v>Encounter visual: BLIGHT SLIME</x:v>
      </x:c>
      <x:c r="E90" s="6" t="n">
        <x:v>308</x:v>
      </x:c>
      <x:c r="F90" s="2" t="str">
        <x:v>PortalCreatureV1</x:v>
      </x:c>
      <x:c r="G90" s="4" t="str">
        <x:v>Idle, Walk, Attack, Hurt</x:v>
      </x:c>
      <x:c r="H90" s="2" t="str">
        <x:v>Validated</x:v>
      </x:c>
      <x:c r="I90" s="2" t="str">
        <x:v>Pending</x:v>
      </x:c>
      <x:c r="J90" s="2" t="str">
        <x:v>Binding pending</x:v>
      </x:c>
      <x:c r="K90" s="2" t="str">
        <x:v>portal-buildout/monsters/Mob_Portal_BLIGHT_SLIME_T2.glb</x:v>
      </x:c>
      <x:c r="L90" s="2" t="str">
        <x:v>17b1f68df17980418a83bd3d5d0416263a8b8e74ca52e9c68f15ea51849072be</x:v>
      </x:c>
      <x:c r="M90" s="17" t="n">
        <x:v>0</x:v>
      </x:c>
      <x:c r="N90" s="2" t="str">
        <x:v>BLIGHT_SLIME</x:v>
      </x:c>
    </x:row>
    <x:row r="91" ht="38" customHeight="1">
      <x:c r="A91" s="2" t="str">
        <x:v>Mob_Portal_BLIGHT_SLIME_T3</x:v>
      </x:c>
      <x:c r="B91" s="2" t="str">
        <x:v>Character</x:v>
      </x:c>
      <x:c r="C91" s="2" t="str">
        <x:v>Portal Realm</x:v>
      </x:c>
      <x:c r="D91" s="4" t="str">
        <x:v>Encounter visual: BLIGHT SLIME</x:v>
      </x:c>
      <x:c r="E91" s="6" t="n">
        <x:v>308</x:v>
      </x:c>
      <x:c r="F91" s="2" t="str">
        <x:v>PortalCreatureV1</x:v>
      </x:c>
      <x:c r="G91" s="4" t="str">
        <x:v>Idle, Walk, Attack, Hurt</x:v>
      </x:c>
      <x:c r="H91" s="2" t="str">
        <x:v>Validated</x:v>
      </x:c>
      <x:c r="I91" s="2" t="str">
        <x:v>Pending</x:v>
      </x:c>
      <x:c r="J91" s="2" t="str">
        <x:v>Binding pending</x:v>
      </x:c>
      <x:c r="K91" s="2" t="str">
        <x:v>portal-buildout/monsters/Mob_Portal_BLIGHT_SLIME_T3.glb</x:v>
      </x:c>
      <x:c r="L91" s="2" t="str">
        <x:v>f5f62a1175df7d374a00cc14e64dd42423ca1359e56048ed846e0269db402b3d</x:v>
      </x:c>
      <x:c r="M91" s="17" t="n">
        <x:v>0</x:v>
      </x:c>
      <x:c r="N91" s="2" t="str">
        <x:v>BLIGHT_SLIME</x:v>
      </x:c>
    </x:row>
    <x:row r="92" ht="38" customHeight="1">
      <x:c r="A92" s="2" t="str">
        <x:v>Mob_Portal_BOG_SLIME_T1</x:v>
      </x:c>
      <x:c r="B92" s="2" t="str">
        <x:v>Character</x:v>
      </x:c>
      <x:c r="C92" s="2" t="str">
        <x:v>Portal Realm</x:v>
      </x:c>
      <x:c r="D92" s="4" t="str">
        <x:v>Encounter visual: BOG SLIME</x:v>
      </x:c>
      <x:c r="E92" s="6" t="n">
        <x:v>308</x:v>
      </x:c>
      <x:c r="F92" s="2" t="str">
        <x:v>PortalCreatureV1</x:v>
      </x:c>
      <x:c r="G92" s="4" t="str">
        <x:v>Idle, Walk, Attack, Hurt</x:v>
      </x:c>
      <x:c r="H92" s="2" t="str">
        <x:v>Validated</x:v>
      </x:c>
      <x:c r="I92" s="2" t="str">
        <x:v>Pending</x:v>
      </x:c>
      <x:c r="J92" s="2" t="str">
        <x:v>Binding pending</x:v>
      </x:c>
      <x:c r="K92" s="2" t="str">
        <x:v>portal-buildout/monsters/Mob_Portal_BOG_SLIME_T1.glb</x:v>
      </x:c>
      <x:c r="L92" s="2" t="str">
        <x:v>d457a4812fc18e2177ad53bb32946c02ee987cf7360423c767e42a75244f3f94</x:v>
      </x:c>
      <x:c r="M92" s="17" t="n">
        <x:v>1</x:v>
      </x:c>
      <x:c r="N92" s="2" t="str">
        <x:v>BOG_SLIME</x:v>
      </x:c>
    </x:row>
    <x:row r="93" ht="38" customHeight="1">
      <x:c r="A93" s="2" t="str">
        <x:v>Mob_Portal_BOG_SLIME_T2</x:v>
      </x:c>
      <x:c r="B93" s="2" t="str">
        <x:v>Character</x:v>
      </x:c>
      <x:c r="C93" s="2" t="str">
        <x:v>Portal Realm</x:v>
      </x:c>
      <x:c r="D93" s="4" t="str">
        <x:v>Encounter visual: BOG SLIME</x:v>
      </x:c>
      <x:c r="E93" s="6" t="n">
        <x:v>308</x:v>
      </x:c>
      <x:c r="F93" s="2" t="str">
        <x:v>PortalCreatureV1</x:v>
      </x:c>
      <x:c r="G93" s="4" t="str">
        <x:v>Idle, Walk, Attack, Hurt</x:v>
      </x:c>
      <x:c r="H93" s="2" t="str">
        <x:v>Validated</x:v>
      </x:c>
      <x:c r="I93" s="2" t="str">
        <x:v>Pending</x:v>
      </x:c>
      <x:c r="J93" s="2" t="str">
        <x:v>Binding pending</x:v>
      </x:c>
      <x:c r="K93" s="2" t="str">
        <x:v>portal-buildout/monsters/Mob_Portal_BOG_SLIME_T2.glb</x:v>
      </x:c>
      <x:c r="L93" s="2" t="str">
        <x:v>0b4723b0feb114634440bfa9da65d906486f8fc670dee592d5ddcdc6a3edd5fb</x:v>
      </x:c>
      <x:c r="M93" s="17" t="n">
        <x:v>0</x:v>
      </x:c>
      <x:c r="N93" s="2" t="str">
        <x:v>BOG_SLIME</x:v>
      </x:c>
    </x:row>
    <x:row r="94" ht="38" customHeight="1">
      <x:c r="A94" s="2" t="str">
        <x:v>Mob_Portal_BOG_SLIME_T3</x:v>
      </x:c>
      <x:c r="B94" s="2" t="str">
        <x:v>Character</x:v>
      </x:c>
      <x:c r="C94" s="2" t="str">
        <x:v>Portal Realm</x:v>
      </x:c>
      <x:c r="D94" s="4" t="str">
        <x:v>Encounter visual: BOG SLIME</x:v>
      </x:c>
      <x:c r="E94" s="6" t="n">
        <x:v>308</x:v>
      </x:c>
      <x:c r="F94" s="2" t="str">
        <x:v>PortalCreatureV1</x:v>
      </x:c>
      <x:c r="G94" s="4" t="str">
        <x:v>Idle, Walk, Attack, Hurt</x:v>
      </x:c>
      <x:c r="H94" s="2" t="str">
        <x:v>Validated</x:v>
      </x:c>
      <x:c r="I94" s="2" t="str">
        <x:v>Pending</x:v>
      </x:c>
      <x:c r="J94" s="2" t="str">
        <x:v>Binding pending</x:v>
      </x:c>
      <x:c r="K94" s="2" t="str">
        <x:v>portal-buildout/monsters/Mob_Portal_BOG_SLIME_T3.glb</x:v>
      </x:c>
      <x:c r="L94" s="2" t="str">
        <x:v>ce394c7dd484d6fcd1a095c4f1720b9778082f334dff24e7077ccd96dc234768</x:v>
      </x:c>
      <x:c r="M94" s="17" t="n">
        <x:v>0</x:v>
      </x:c>
      <x:c r="N94" s="2" t="str">
        <x:v>BOG_SLIME</x:v>
      </x:c>
    </x:row>
    <x:row r="95" ht="38" customHeight="1">
      <x:c r="A95" s="2" t="str">
        <x:v>Mob_Portal_LUCKY_DRIP_T1</x:v>
      </x:c>
      <x:c r="B95" s="2" t="str">
        <x:v>Character</x:v>
      </x:c>
      <x:c r="C95" s="2" t="str">
        <x:v>Portal Realm</x:v>
      </x:c>
      <x:c r="D95" s="4" t="str">
        <x:v>Encounter visual: LUCKY DRIP</x:v>
      </x:c>
      <x:c r="E95" s="6" t="n">
        <x:v>308</x:v>
      </x:c>
      <x:c r="F95" s="2" t="str">
        <x:v>PortalCreatureV1</x:v>
      </x:c>
      <x:c r="G95" s="4" t="str">
        <x:v>Idle, Walk, Attack, Hurt</x:v>
      </x:c>
      <x:c r="H95" s="2" t="str">
        <x:v>Validated</x:v>
      </x:c>
      <x:c r="I95" s="2" t="str">
        <x:v>Pending</x:v>
      </x:c>
      <x:c r="J95" s="2" t="str">
        <x:v>Binding pending</x:v>
      </x:c>
      <x:c r="K95" s="2" t="str">
        <x:v>portal-buildout/monsters/Mob_Portal_LUCKY_DRIP_T1.glb</x:v>
      </x:c>
      <x:c r="L95" s="2" t="str">
        <x:v>1a80948595f4f7f9d65e293fd48a24236f44bab57b62fabc068eac95ae93a959</x:v>
      </x:c>
      <x:c r="M95" s="17" t="n">
        <x:v>1</x:v>
      </x:c>
      <x:c r="N95" s="2" t="str">
        <x:v>LUCKY_DRIP</x:v>
      </x:c>
    </x:row>
    <x:row r="96" ht="38" customHeight="1">
      <x:c r="A96" s="2" t="str">
        <x:v>Mob_Portal_LUCKY_DRIP_T2</x:v>
      </x:c>
      <x:c r="B96" s="2" t="str">
        <x:v>Character</x:v>
      </x:c>
      <x:c r="C96" s="2" t="str">
        <x:v>Portal Realm</x:v>
      </x:c>
      <x:c r="D96" s="4" t="str">
        <x:v>Encounter visual: LUCKY DRIP</x:v>
      </x:c>
      <x:c r="E96" s="6" t="n">
        <x:v>308</x:v>
      </x:c>
      <x:c r="F96" s="2" t="str">
        <x:v>PortalCreatureV1</x:v>
      </x:c>
      <x:c r="G96" s="4" t="str">
        <x:v>Idle, Walk, Attack, Hurt</x:v>
      </x:c>
      <x:c r="H96" s="2" t="str">
        <x:v>Validated</x:v>
      </x:c>
      <x:c r="I96" s="2" t="str">
        <x:v>Pending</x:v>
      </x:c>
      <x:c r="J96" s="2" t="str">
        <x:v>Binding pending</x:v>
      </x:c>
      <x:c r="K96" s="2" t="str">
        <x:v>portal-buildout/monsters/Mob_Portal_LUCKY_DRIP_T2.glb</x:v>
      </x:c>
      <x:c r="L96" s="2" t="str">
        <x:v>63f3b208d20467378afe106075e3046b6c352ad24e8192f003d63f64b35f081b</x:v>
      </x:c>
      <x:c r="M96" s="17" t="n">
        <x:v>0</x:v>
      </x:c>
      <x:c r="N96" s="2" t="str">
        <x:v>LUCKY_DRIP</x:v>
      </x:c>
    </x:row>
    <x:row r="97" ht="38" customHeight="1">
      <x:c r="A97" s="2" t="str">
        <x:v>Mob_Portal_LUCKY_DRIP_T3</x:v>
      </x:c>
      <x:c r="B97" s="2" t="str">
        <x:v>Character</x:v>
      </x:c>
      <x:c r="C97" s="2" t="str">
        <x:v>Portal Realm</x:v>
      </x:c>
      <x:c r="D97" s="4" t="str">
        <x:v>Encounter visual: LUCKY DRIP</x:v>
      </x:c>
      <x:c r="E97" s="6" t="n">
        <x:v>308</x:v>
      </x:c>
      <x:c r="F97" s="2" t="str">
        <x:v>PortalCreatureV1</x:v>
      </x:c>
      <x:c r="G97" s="4" t="str">
        <x:v>Idle, Walk, Attack, Hurt</x:v>
      </x:c>
      <x:c r="H97" s="2" t="str">
        <x:v>Validated</x:v>
      </x:c>
      <x:c r="I97" s="2" t="str">
        <x:v>Pending</x:v>
      </x:c>
      <x:c r="J97" s="2" t="str">
        <x:v>Binding pending</x:v>
      </x:c>
      <x:c r="K97" s="2" t="str">
        <x:v>portal-buildout/monsters/Mob_Portal_LUCKY_DRIP_T3.glb</x:v>
      </x:c>
      <x:c r="L97" s="2" t="str">
        <x:v>92174cad626048318b940d7169c20fde1fa147e4209a864f1464a7b92a10c45a</x:v>
      </x:c>
      <x:c r="M97" s="17" t="n">
        <x:v>0</x:v>
      </x:c>
      <x:c r="N97" s="2" t="str">
        <x:v>LUCKY_DRIP</x:v>
      </x:c>
    </x:row>
    <x:row r="98" ht="38" customHeight="1">
      <x:c r="A98" s="2" t="str">
        <x:v>Mob_Portal_DUST_WISP_T1</x:v>
      </x:c>
      <x:c r="B98" s="2" t="str">
        <x:v>Character</x:v>
      </x:c>
      <x:c r="C98" s="2" t="str">
        <x:v>Portal Realm</x:v>
      </x:c>
      <x:c r="D98" s="4" t="str">
        <x:v>Encounter visual: DUST WISP</x:v>
      </x:c>
      <x:c r="E98" s="6" t="n">
        <x:v>270</x:v>
      </x:c>
      <x:c r="F98" s="2" t="str">
        <x:v>PortalCreatureV1</x:v>
      </x:c>
      <x:c r="G98" s="4" t="str">
        <x:v>Idle, Walk, Attack, Hurt</x:v>
      </x:c>
      <x:c r="H98" s="2" t="str">
        <x:v>Validated</x:v>
      </x:c>
      <x:c r="I98" s="2" t="str">
        <x:v>Pending</x:v>
      </x:c>
      <x:c r="J98" s="2" t="str">
        <x:v>Binding pending</x:v>
      </x:c>
      <x:c r="K98" s="2" t="str">
        <x:v>portal-buildout/monsters/Mob_Portal_DUST_WISP_T1.glb</x:v>
      </x:c>
      <x:c r="L98" s="2" t="str">
        <x:v>095e80bec8657a4cb1d113118913a311855aff778658ed3a4d50140a488bfb72</x:v>
      </x:c>
      <x:c r="M98" s="17" t="n">
        <x:v>1</x:v>
      </x:c>
      <x:c r="N98" s="2" t="str">
        <x:v>DUST_WISP</x:v>
      </x:c>
    </x:row>
    <x:row r="99" ht="38" customHeight="1">
      <x:c r="A99" s="2" t="str">
        <x:v>Mob_Portal_DUST_WISP_T2</x:v>
      </x:c>
      <x:c r="B99" s="2" t="str">
        <x:v>Character</x:v>
      </x:c>
      <x:c r="C99" s="2" t="str">
        <x:v>Portal Realm</x:v>
      </x:c>
      <x:c r="D99" s="4" t="str">
        <x:v>Encounter visual: DUST WISP</x:v>
      </x:c>
      <x:c r="E99" s="6" t="n">
        <x:v>270</x:v>
      </x:c>
      <x:c r="F99" s="2" t="str">
        <x:v>PortalCreatureV1</x:v>
      </x:c>
      <x:c r="G99" s="4" t="str">
        <x:v>Idle, Walk, Attack, Hurt</x:v>
      </x:c>
      <x:c r="H99" s="2" t="str">
        <x:v>Validated</x:v>
      </x:c>
      <x:c r="I99" s="2" t="str">
        <x:v>Pending</x:v>
      </x:c>
      <x:c r="J99" s="2" t="str">
        <x:v>Binding pending</x:v>
      </x:c>
      <x:c r="K99" s="2" t="str">
        <x:v>portal-buildout/monsters/Mob_Portal_DUST_WISP_T2.glb</x:v>
      </x:c>
      <x:c r="L99" s="2" t="str">
        <x:v>bcb7d0b015f4d033e72815b19810459196ceee7a96fe8652babb536e3c6a90ee</x:v>
      </x:c>
      <x:c r="M99" s="17" t="n">
        <x:v>0</x:v>
      </x:c>
      <x:c r="N99" s="2" t="str">
        <x:v>DUST_WISP</x:v>
      </x:c>
    </x:row>
    <x:row r="100" ht="38" customHeight="1">
      <x:c r="A100" s="2" t="str">
        <x:v>Mob_Portal_DUST_WISP_T3</x:v>
      </x:c>
      <x:c r="B100" s="2" t="str">
        <x:v>Character</x:v>
      </x:c>
      <x:c r="C100" s="2" t="str">
        <x:v>Portal Realm</x:v>
      </x:c>
      <x:c r="D100" s="4" t="str">
        <x:v>Encounter visual: DUST WISP</x:v>
      </x:c>
      <x:c r="E100" s="6" t="n">
        <x:v>270</x:v>
      </x:c>
      <x:c r="F100" s="2" t="str">
        <x:v>PortalCreatureV1</x:v>
      </x:c>
      <x:c r="G100" s="4" t="str">
        <x:v>Idle, Walk, Attack, Hurt</x:v>
      </x:c>
      <x:c r="H100" s="2" t="str">
        <x:v>Validated</x:v>
      </x:c>
      <x:c r="I100" s="2" t="str">
        <x:v>Pending</x:v>
      </x:c>
      <x:c r="J100" s="2" t="str">
        <x:v>Binding pending</x:v>
      </x:c>
      <x:c r="K100" s="2" t="str">
        <x:v>portal-buildout/monsters/Mob_Portal_DUST_WISP_T3.glb</x:v>
      </x:c>
      <x:c r="L100" s="2" t="str">
        <x:v>aeaaac63285f2f8265a2c605a4a56b33bb4a6a85991fb10fea862329724892d2</x:v>
      </x:c>
      <x:c r="M100" s="17" t="n">
        <x:v>0</x:v>
      </x:c>
      <x:c r="N100" s="2" t="str">
        <x:v>DUST_WISP</x:v>
      </x:c>
    </x:row>
    <x:row r="101" ht="38" customHeight="1">
      <x:c r="A101" s="2" t="str">
        <x:v>Mob_Portal_EMBER_WISP_T1</x:v>
      </x:c>
      <x:c r="B101" s="2" t="str">
        <x:v>Character</x:v>
      </x:c>
      <x:c r="C101" s="2" t="str">
        <x:v>Portal Realm</x:v>
      </x:c>
      <x:c r="D101" s="4" t="str">
        <x:v>Encounter visual: EMBER WISP</x:v>
      </x:c>
      <x:c r="E101" s="6" t="n">
        <x:v>270</x:v>
      </x:c>
      <x:c r="F101" s="2" t="str">
        <x:v>PortalCreatureV1</x:v>
      </x:c>
      <x:c r="G101" s="4" t="str">
        <x:v>Idle, Walk, Attack, Hurt</x:v>
      </x:c>
      <x:c r="H101" s="2" t="str">
        <x:v>Validated</x:v>
      </x:c>
      <x:c r="I101" s="2" t="str">
        <x:v>Pending</x:v>
      </x:c>
      <x:c r="J101" s="2" t="str">
        <x:v>Binding pending</x:v>
      </x:c>
      <x:c r="K101" s="2" t="str">
        <x:v>portal-buildout/monsters/Mob_Portal_EMBER_WISP_T1.glb</x:v>
      </x:c>
      <x:c r="L101" s="2" t="str">
        <x:v>58b04e21e556557e2df43c7c5a26ab1073b538bca4c362e8e61ad5dd0bd844d5</x:v>
      </x:c>
      <x:c r="M101" s="17" t="n">
        <x:v>1</x:v>
      </x:c>
      <x:c r="N101" s="2" t="str">
        <x:v>EMBER_WISP</x:v>
      </x:c>
    </x:row>
    <x:row r="102" ht="38" customHeight="1">
      <x:c r="A102" s="2" t="str">
        <x:v>Mob_Portal_EMBER_WISP_T2</x:v>
      </x:c>
      <x:c r="B102" s="2" t="str">
        <x:v>Character</x:v>
      </x:c>
      <x:c r="C102" s="2" t="str">
        <x:v>Portal Realm</x:v>
      </x:c>
      <x:c r="D102" s="4" t="str">
        <x:v>Encounter visual: EMBER WISP</x:v>
      </x:c>
      <x:c r="E102" s="6" t="n">
        <x:v>270</x:v>
      </x:c>
      <x:c r="F102" s="2" t="str">
        <x:v>PortalCreatureV1</x:v>
      </x:c>
      <x:c r="G102" s="4" t="str">
        <x:v>Idle, Walk, Attack, Hurt</x:v>
      </x:c>
      <x:c r="H102" s="2" t="str">
        <x:v>Validated</x:v>
      </x:c>
      <x:c r="I102" s="2" t="str">
        <x:v>Pending</x:v>
      </x:c>
      <x:c r="J102" s="2" t="str">
        <x:v>Binding pending</x:v>
      </x:c>
      <x:c r="K102" s="2" t="str">
        <x:v>portal-buildout/monsters/Mob_Portal_EMBER_WISP_T2.glb</x:v>
      </x:c>
      <x:c r="L102" s="2" t="str">
        <x:v>8b474f4a2b3014047cc7029e2e68b340dba19807eccf4550b2ccd942bdff9811</x:v>
      </x:c>
      <x:c r="M102" s="17" t="n">
        <x:v>0</x:v>
      </x:c>
      <x:c r="N102" s="2" t="str">
        <x:v>EMBER_WISP</x:v>
      </x:c>
    </x:row>
    <x:row r="103" ht="38" customHeight="1">
      <x:c r="A103" s="2" t="str">
        <x:v>Mob_Portal_EMBER_WISP_T3</x:v>
      </x:c>
      <x:c r="B103" s="2" t="str">
        <x:v>Character</x:v>
      </x:c>
      <x:c r="C103" s="2" t="str">
        <x:v>Portal Realm</x:v>
      </x:c>
      <x:c r="D103" s="4" t="str">
        <x:v>Encounter visual: EMBER WISP</x:v>
      </x:c>
      <x:c r="E103" s="6" t="n">
        <x:v>270</x:v>
      </x:c>
      <x:c r="F103" s="2" t="str">
        <x:v>PortalCreatureV1</x:v>
      </x:c>
      <x:c r="G103" s="4" t="str">
        <x:v>Idle, Walk, Attack, Hurt</x:v>
      </x:c>
      <x:c r="H103" s="2" t="str">
        <x:v>Validated</x:v>
      </x:c>
      <x:c r="I103" s="2" t="str">
        <x:v>Pending</x:v>
      </x:c>
      <x:c r="J103" s="2" t="str">
        <x:v>Binding pending</x:v>
      </x:c>
      <x:c r="K103" s="2" t="str">
        <x:v>portal-buildout/monsters/Mob_Portal_EMBER_WISP_T3.glb</x:v>
      </x:c>
      <x:c r="L103" s="2" t="str">
        <x:v>0d2c13899aa72d2034a7c7e23286c7f73f879a9de56e8d7e1c15dd95d9cea327</x:v>
      </x:c>
      <x:c r="M103" s="17" t="n">
        <x:v>0</x:v>
      </x:c>
      <x:c r="N103" s="2" t="str">
        <x:v>EMBER_WISP</x:v>
      </x:c>
    </x:row>
    <x:row r="104" ht="38" customHeight="1">
      <x:c r="A104" s="2" t="str">
        <x:v>Mob_Portal_SHARDBACK_T1</x:v>
      </x:c>
      <x:c r="B104" s="2" t="str">
        <x:v>Character</x:v>
      </x:c>
      <x:c r="C104" s="2" t="str">
        <x:v>Portal Realm</x:v>
      </x:c>
      <x:c r="D104" s="4" t="str">
        <x:v>Encounter visual: SHARDBACK</x:v>
      </x:c>
      <x:c r="E104" s="6" t="n">
        <x:v>382</x:v>
      </x:c>
      <x:c r="F104" s="2" t="str">
        <x:v>PortalCreatureV1</x:v>
      </x:c>
      <x:c r="G104" s="4" t="str">
        <x:v>Idle, Walk, Attack, Hurt</x:v>
      </x:c>
      <x:c r="H104" s="2" t="str">
        <x:v>Validated</x:v>
      </x:c>
      <x:c r="I104" s="2" t="str">
        <x:v>Pending</x:v>
      </x:c>
      <x:c r="J104" s="2" t="str">
        <x:v>Binding pending</x:v>
      </x:c>
      <x:c r="K104" s="2" t="str">
        <x:v>portal-buildout/monsters/Mob_Portal_SHARDBACK_T1.glb</x:v>
      </x:c>
      <x:c r="L104" s="2" t="str">
        <x:v>1529b3f8b8f8442617814338b0e5ee41467c7cb2fcd64234083042cdc9b4ca1d</x:v>
      </x:c>
      <x:c r="M104" s="17" t="n">
        <x:v>1</x:v>
      </x:c>
      <x:c r="N104" s="2" t="str">
        <x:v>SHARDBACK</x:v>
      </x:c>
    </x:row>
    <x:row r="105" ht="38" customHeight="1">
      <x:c r="A105" s="2" t="str">
        <x:v>Mob_Portal_SHARDBACK_T2</x:v>
      </x:c>
      <x:c r="B105" s="2" t="str">
        <x:v>Character</x:v>
      </x:c>
      <x:c r="C105" s="2" t="str">
        <x:v>Portal Realm</x:v>
      </x:c>
      <x:c r="D105" s="4" t="str">
        <x:v>Encounter visual: SHARDBACK</x:v>
      </x:c>
      <x:c r="E105" s="6" t="n">
        <x:v>382</x:v>
      </x:c>
      <x:c r="F105" s="2" t="str">
        <x:v>PortalCreatureV1</x:v>
      </x:c>
      <x:c r="G105" s="4" t="str">
        <x:v>Idle, Walk, Attack, Hurt</x:v>
      </x:c>
      <x:c r="H105" s="2" t="str">
        <x:v>Validated</x:v>
      </x:c>
      <x:c r="I105" s="2" t="str">
        <x:v>Pending</x:v>
      </x:c>
      <x:c r="J105" s="2" t="str">
        <x:v>Binding pending</x:v>
      </x:c>
      <x:c r="K105" s="2" t="str">
        <x:v>portal-buildout/monsters/Mob_Portal_SHARDBACK_T2.glb</x:v>
      </x:c>
      <x:c r="L105" s="2" t="str">
        <x:v>0917e8fca2661ce0c4f3ee890c8d6a03e6f1d6475b308c646d1e43b0a97eac07</x:v>
      </x:c>
      <x:c r="M105" s="17" t="n">
        <x:v>0</x:v>
      </x:c>
      <x:c r="N105" s="2" t="str">
        <x:v>SHARDBACK</x:v>
      </x:c>
    </x:row>
    <x:row r="106" ht="38" customHeight="1">
      <x:c r="A106" s="2" t="str">
        <x:v>Mob_Portal_SHARDBACK_T3</x:v>
      </x:c>
      <x:c r="B106" s="2" t="str">
        <x:v>Character</x:v>
      </x:c>
      <x:c r="C106" s="2" t="str">
        <x:v>Portal Realm</x:v>
      </x:c>
      <x:c r="D106" s="4" t="str">
        <x:v>Encounter visual: SHARDBACK</x:v>
      </x:c>
      <x:c r="E106" s="6" t="n">
        <x:v>382</x:v>
      </x:c>
      <x:c r="F106" s="2" t="str">
        <x:v>PortalCreatureV1</x:v>
      </x:c>
      <x:c r="G106" s="4" t="str">
        <x:v>Idle, Walk, Attack, Hurt</x:v>
      </x:c>
      <x:c r="H106" s="2" t="str">
        <x:v>Validated</x:v>
      </x:c>
      <x:c r="I106" s="2" t="str">
        <x:v>Pending</x:v>
      </x:c>
      <x:c r="J106" s="2" t="str">
        <x:v>Binding pending</x:v>
      </x:c>
      <x:c r="K106" s="2" t="str">
        <x:v>portal-buildout/monsters/Mob_Portal_SHARDBACK_T3.glb</x:v>
      </x:c>
      <x:c r="L106" s="2" t="str">
        <x:v>a44a32adf20cf777f1be4a3d6b6e4918f12719752ff0d75e550ac34e7a788e58</x:v>
      </x:c>
      <x:c r="M106" s="17" t="n">
        <x:v>0</x:v>
      </x:c>
      <x:c r="N106" s="2" t="str">
        <x:v>SHARDBACK</x:v>
      </x:c>
    </x:row>
    <x:row r="107" ht="38" customHeight="1">
      <x:c r="A107" s="2" t="str">
        <x:v>Mob_Portal_GLASSBACK_T1</x:v>
      </x:c>
      <x:c r="B107" s="2" t="str">
        <x:v>Character</x:v>
      </x:c>
      <x:c r="C107" s="2" t="str">
        <x:v>Portal Realm</x:v>
      </x:c>
      <x:c r="D107" s="4" t="str">
        <x:v>Encounter visual: GLASSBACK</x:v>
      </x:c>
      <x:c r="E107" s="6" t="n">
        <x:v>382</x:v>
      </x:c>
      <x:c r="F107" s="2" t="str">
        <x:v>PortalCreatureV1</x:v>
      </x:c>
      <x:c r="G107" s="4" t="str">
        <x:v>Idle, Walk, Attack, Hurt</x:v>
      </x:c>
      <x:c r="H107" s="2" t="str">
        <x:v>Validated</x:v>
      </x:c>
      <x:c r="I107" s="2" t="str">
        <x:v>Pending</x:v>
      </x:c>
      <x:c r="J107" s="2" t="str">
        <x:v>Binding pending</x:v>
      </x:c>
      <x:c r="K107" s="2" t="str">
        <x:v>portal-buildout/monsters/Mob_Portal_GLASSBACK_T1.glb</x:v>
      </x:c>
      <x:c r="L107" s="2" t="str">
        <x:v>978373d890e992a79f96fa97eba718b0c3ea053bb0895bd7944b2c9e1a1b651b</x:v>
      </x:c>
      <x:c r="M107" s="17" t="n">
        <x:v>1</x:v>
      </x:c>
      <x:c r="N107" s="2" t="str">
        <x:v>GLASSBACK</x:v>
      </x:c>
    </x:row>
    <x:row r="108" ht="38" customHeight="1">
      <x:c r="A108" s="2" t="str">
        <x:v>Mob_Portal_GLASSBACK_T2</x:v>
      </x:c>
      <x:c r="B108" s="2" t="str">
        <x:v>Character</x:v>
      </x:c>
      <x:c r="C108" s="2" t="str">
        <x:v>Portal Realm</x:v>
      </x:c>
      <x:c r="D108" s="4" t="str">
        <x:v>Encounter visual: GLASSBACK</x:v>
      </x:c>
      <x:c r="E108" s="6" t="n">
        <x:v>382</x:v>
      </x:c>
      <x:c r="F108" s="2" t="str">
        <x:v>PortalCreatureV1</x:v>
      </x:c>
      <x:c r="G108" s="4" t="str">
        <x:v>Idle, Walk, Attack, Hurt</x:v>
      </x:c>
      <x:c r="H108" s="2" t="str">
        <x:v>Validated</x:v>
      </x:c>
      <x:c r="I108" s="2" t="str">
        <x:v>Pending</x:v>
      </x:c>
      <x:c r="J108" s="2" t="str">
        <x:v>Binding pending</x:v>
      </x:c>
      <x:c r="K108" s="2" t="str">
        <x:v>portal-buildout/monsters/Mob_Portal_GLASSBACK_T2.glb</x:v>
      </x:c>
      <x:c r="L108" s="2" t="str">
        <x:v>86a96e62d8f1f1b941af2cedddf81b8f78d4291d545aa113c063db674345f54d</x:v>
      </x:c>
      <x:c r="M108" s="17" t="n">
        <x:v>0</x:v>
      </x:c>
      <x:c r="N108" s="2" t="str">
        <x:v>GLASSBACK</x:v>
      </x:c>
    </x:row>
    <x:row r="109" ht="38" customHeight="1">
      <x:c r="A109" s="2" t="str">
        <x:v>Mob_Portal_GLASSBACK_T3</x:v>
      </x:c>
      <x:c r="B109" s="2" t="str">
        <x:v>Character</x:v>
      </x:c>
      <x:c r="C109" s="2" t="str">
        <x:v>Portal Realm</x:v>
      </x:c>
      <x:c r="D109" s="4" t="str">
        <x:v>Encounter visual: GLASSBACK</x:v>
      </x:c>
      <x:c r="E109" s="6" t="n">
        <x:v>382</x:v>
      </x:c>
      <x:c r="F109" s="2" t="str">
        <x:v>PortalCreatureV1</x:v>
      </x:c>
      <x:c r="G109" s="4" t="str">
        <x:v>Idle, Walk, Attack, Hurt</x:v>
      </x:c>
      <x:c r="H109" s="2" t="str">
        <x:v>Validated</x:v>
      </x:c>
      <x:c r="I109" s="2" t="str">
        <x:v>Pending</x:v>
      </x:c>
      <x:c r="J109" s="2" t="str">
        <x:v>Binding pending</x:v>
      </x:c>
      <x:c r="K109" s="2" t="str">
        <x:v>portal-buildout/monsters/Mob_Portal_GLASSBACK_T3.glb</x:v>
      </x:c>
      <x:c r="L109" s="2" t="str">
        <x:v>338bec11a1fcfc05d6b6dee34f743ec56fa70602c5447207b8d6beb28f7f4e66</x:v>
      </x:c>
      <x:c r="M109" s="17" t="n">
        <x:v>0</x:v>
      </x:c>
      <x:c r="N109" s="2" t="str">
        <x:v>GLASSBACK</x:v>
      </x:c>
    </x:row>
    <x:row r="110" ht="38" customHeight="1">
      <x:c r="A110" s="2" t="str">
        <x:v>Mob_Portal_PUFFCAP_T1</x:v>
      </x:c>
      <x:c r="B110" s="2" t="str">
        <x:v>Character</x:v>
      </x:c>
      <x:c r="C110" s="2" t="str">
        <x:v>Portal Realm</x:v>
      </x:c>
      <x:c r="D110" s="4" t="str">
        <x:v>Encounter visual: PUFFCAP</x:v>
      </x:c>
      <x:c r="E110" s="6" t="n">
        <x:v>540</x:v>
      </x:c>
      <x:c r="F110" s="2" t="str">
        <x:v>PortalCreatureV1</x:v>
      </x:c>
      <x:c r="G110" s="4" t="str">
        <x:v>Idle, Walk, Attack, Hurt</x:v>
      </x:c>
      <x:c r="H110" s="2" t="str">
        <x:v>Validated</x:v>
      </x:c>
      <x:c r="I110" s="2" t="str">
        <x:v>Pending</x:v>
      </x:c>
      <x:c r="J110" s="2" t="str">
        <x:v>Binding pending</x:v>
      </x:c>
      <x:c r="K110" s="2" t="str">
        <x:v>portal-buildout/monsters/Mob_Portal_PUFFCAP_T1.glb</x:v>
      </x:c>
      <x:c r="L110" s="2" t="str">
        <x:v>7de7738ac2ba87ba90dad4dde5d090f2e453784d0b7f3440ab2f6303bb2903f3</x:v>
      </x:c>
      <x:c r="M110" s="17" t="n">
        <x:v>1</x:v>
      </x:c>
      <x:c r="N110" s="2" t="str">
        <x:v>PUFFCAP</x:v>
      </x:c>
    </x:row>
    <x:row r="111" ht="38" customHeight="1">
      <x:c r="A111" s="2" t="str">
        <x:v>Mob_Portal_PUFFCAP_T2</x:v>
      </x:c>
      <x:c r="B111" s="2" t="str">
        <x:v>Character</x:v>
      </x:c>
      <x:c r="C111" s="2" t="str">
        <x:v>Portal Realm</x:v>
      </x:c>
      <x:c r="D111" s="4" t="str">
        <x:v>Encounter visual: PUFFCAP</x:v>
      </x:c>
      <x:c r="E111" s="6" t="n">
        <x:v>540</x:v>
      </x:c>
      <x:c r="F111" s="2" t="str">
        <x:v>PortalCreatureV1</x:v>
      </x:c>
      <x:c r="G111" s="4" t="str">
        <x:v>Idle, Walk, Attack, Hurt</x:v>
      </x:c>
      <x:c r="H111" s="2" t="str">
        <x:v>Validated</x:v>
      </x:c>
      <x:c r="I111" s="2" t="str">
        <x:v>Pending</x:v>
      </x:c>
      <x:c r="J111" s="2" t="str">
        <x:v>Binding pending</x:v>
      </x:c>
      <x:c r="K111" s="2" t="str">
        <x:v>portal-buildout/monsters/Mob_Portal_PUFFCAP_T2.glb</x:v>
      </x:c>
      <x:c r="L111" s="2" t="str">
        <x:v>d0e3fbf65029bb309e4bf36c50c12e79d4f5d45f287c192c14146e9179944fa3</x:v>
      </x:c>
      <x:c r="M111" s="17" t="n">
        <x:v>0</x:v>
      </x:c>
      <x:c r="N111" s="2" t="str">
        <x:v>PUFFCAP</x:v>
      </x:c>
    </x:row>
    <x:row r="112" ht="38" customHeight="1">
      <x:c r="A112" s="2" t="str">
        <x:v>Mob_Portal_PUFFCAP_T3</x:v>
      </x:c>
      <x:c r="B112" s="2" t="str">
        <x:v>Character</x:v>
      </x:c>
      <x:c r="C112" s="2" t="str">
        <x:v>Portal Realm</x:v>
      </x:c>
      <x:c r="D112" s="4" t="str">
        <x:v>Encounter visual: PUFFCAP</x:v>
      </x:c>
      <x:c r="E112" s="6" t="n">
        <x:v>540</x:v>
      </x:c>
      <x:c r="F112" s="2" t="str">
        <x:v>PortalCreatureV1</x:v>
      </x:c>
      <x:c r="G112" s="4" t="str">
        <x:v>Idle, Walk, Attack, Hurt</x:v>
      </x:c>
      <x:c r="H112" s="2" t="str">
        <x:v>Validated</x:v>
      </x:c>
      <x:c r="I112" s="2" t="str">
        <x:v>Pending</x:v>
      </x:c>
      <x:c r="J112" s="2" t="str">
        <x:v>Binding pending</x:v>
      </x:c>
      <x:c r="K112" s="2" t="str">
        <x:v>portal-buildout/monsters/Mob_Portal_PUFFCAP_T3.glb</x:v>
      </x:c>
      <x:c r="L112" s="2" t="str">
        <x:v>78a9d0175420f366bb7b41d5b3dbe15b97510cdab07fc8c17280b6aab7a2511e</x:v>
      </x:c>
      <x:c r="M112" s="17" t="n">
        <x:v>0</x:v>
      </x:c>
      <x:c r="N112" s="2" t="str">
        <x:v>PUFFCAP</x:v>
      </x:c>
    </x:row>
    <x:row r="113" ht="38" customHeight="1">
      <x:c r="A113" s="2" t="str">
        <x:v>Mob_Portal_SHADECAP_T1</x:v>
      </x:c>
      <x:c r="B113" s="2" t="str">
        <x:v>Character</x:v>
      </x:c>
      <x:c r="C113" s="2" t="str">
        <x:v>Portal Realm</x:v>
      </x:c>
      <x:c r="D113" s="4" t="str">
        <x:v>Encounter visual: SHADECAP</x:v>
      </x:c>
      <x:c r="E113" s="6" t="n">
        <x:v>540</x:v>
      </x:c>
      <x:c r="F113" s="2" t="str">
        <x:v>PortalCreatureV1</x:v>
      </x:c>
      <x:c r="G113" s="4" t="str">
        <x:v>Idle, Walk, Attack, Hurt</x:v>
      </x:c>
      <x:c r="H113" s="2" t="str">
        <x:v>Validated</x:v>
      </x:c>
      <x:c r="I113" s="2" t="str">
        <x:v>Pending</x:v>
      </x:c>
      <x:c r="J113" s="2" t="str">
        <x:v>Binding pending</x:v>
      </x:c>
      <x:c r="K113" s="2" t="str">
        <x:v>portal-buildout/monsters/Mob_Portal_SHADECAP_T1.glb</x:v>
      </x:c>
      <x:c r="L113" s="2" t="str">
        <x:v>e410d159bb1cc9a504ab6154166ca36905ecbf4b8e474109df2d9316bb7f0b42</x:v>
      </x:c>
      <x:c r="M113" s="17" t="n">
        <x:v>1</x:v>
      </x:c>
      <x:c r="N113" s="2" t="str">
        <x:v>SHADECAP</x:v>
      </x:c>
    </x:row>
    <x:row r="114" ht="38" customHeight="1">
      <x:c r="A114" s="2" t="str">
        <x:v>Mob_Portal_SHADECAP_T2</x:v>
      </x:c>
      <x:c r="B114" s="2" t="str">
        <x:v>Character</x:v>
      </x:c>
      <x:c r="C114" s="2" t="str">
        <x:v>Portal Realm</x:v>
      </x:c>
      <x:c r="D114" s="4" t="str">
        <x:v>Encounter visual: SHADECAP</x:v>
      </x:c>
      <x:c r="E114" s="6" t="n">
        <x:v>540</x:v>
      </x:c>
      <x:c r="F114" s="2" t="str">
        <x:v>PortalCreatureV1</x:v>
      </x:c>
      <x:c r="G114" s="4" t="str">
        <x:v>Idle, Walk, Attack, Hurt</x:v>
      </x:c>
      <x:c r="H114" s="2" t="str">
        <x:v>Validated</x:v>
      </x:c>
      <x:c r="I114" s="2" t="str">
        <x:v>Pending</x:v>
      </x:c>
      <x:c r="J114" s="2" t="str">
        <x:v>Binding pending</x:v>
      </x:c>
      <x:c r="K114" s="2" t="str">
        <x:v>portal-buildout/monsters/Mob_Portal_SHADECAP_T2.glb</x:v>
      </x:c>
      <x:c r="L114" s="2" t="str">
        <x:v>a5712f34a5821ab4f36d26489de2d5b86d8e4165c820375978f96a67e2d78df6</x:v>
      </x:c>
      <x:c r="M114" s="17" t="n">
        <x:v>0</x:v>
      </x:c>
      <x:c r="N114" s="2" t="str">
        <x:v>SHADECAP</x:v>
      </x:c>
    </x:row>
    <x:row r="115" ht="38" customHeight="1">
      <x:c r="A115" s="2" t="str">
        <x:v>Mob_Portal_SHADECAP_T3</x:v>
      </x:c>
      <x:c r="B115" s="2" t="str">
        <x:v>Character</x:v>
      </x:c>
      <x:c r="C115" s="2" t="str">
        <x:v>Portal Realm</x:v>
      </x:c>
      <x:c r="D115" s="4" t="str">
        <x:v>Encounter visual: SHADECAP</x:v>
      </x:c>
      <x:c r="E115" s="6" t="n">
        <x:v>540</x:v>
      </x:c>
      <x:c r="F115" s="2" t="str">
        <x:v>PortalCreatureV1</x:v>
      </x:c>
      <x:c r="G115" s="4" t="str">
        <x:v>Idle, Walk, Attack, Hurt</x:v>
      </x:c>
      <x:c r="H115" s="2" t="str">
        <x:v>Validated</x:v>
      </x:c>
      <x:c r="I115" s="2" t="str">
        <x:v>Pending</x:v>
      </x:c>
      <x:c r="J115" s="2" t="str">
        <x:v>Binding pending</x:v>
      </x:c>
      <x:c r="K115" s="2" t="str">
        <x:v>portal-buildout/monsters/Mob_Portal_SHADECAP_T3.glb</x:v>
      </x:c>
      <x:c r="L115" s="2" t="str">
        <x:v>99baa0efafa47dd2c2a63804e6d2f94176bf4aa2fe816e3c892fc6070cfc99f4</x:v>
      </x:c>
      <x:c r="M115" s="17" t="n">
        <x:v>0</x:v>
      </x:c>
      <x:c r="N115" s="2" t="str">
        <x:v>SHADECAP</x:v>
      </x:c>
    </x:row>
    <x:row r="116" ht="38" customHeight="1">
      <x:c r="A116" s="2" t="str">
        <x:v>Mob_Portal_GLOOMWING_T1</x:v>
      </x:c>
      <x:c r="B116" s="2" t="str">
        <x:v>Character</x:v>
      </x:c>
      <x:c r="C116" s="2" t="str">
        <x:v>Portal Realm</x:v>
      </x:c>
      <x:c r="D116" s="4" t="str">
        <x:v>Encounter visual: GLOOMWING</x:v>
      </x:c>
      <x:c r="E116" s="6" t="n">
        <x:v>616</x:v>
      </x:c>
      <x:c r="F116" s="2" t="str">
        <x:v>PortalCreatureV1</x:v>
      </x:c>
      <x:c r="G116" s="4" t="str">
        <x:v>Idle, Walk, Attack, Hurt</x:v>
      </x:c>
      <x:c r="H116" s="2" t="str">
        <x:v>Validated</x:v>
      </x:c>
      <x:c r="I116" s="2" t="str">
        <x:v>Pending</x:v>
      </x:c>
      <x:c r="J116" s="2" t="str">
        <x:v>Binding pending</x:v>
      </x:c>
      <x:c r="K116" s="2" t="str">
        <x:v>portal-buildout/monsters/Mob_Portal_GLOOMWING_T1.glb</x:v>
      </x:c>
      <x:c r="L116" s="2" t="str">
        <x:v>5a78181af3c7747a3ce7691bacfa368c0c58d8d3890cd6349222f5f5a2264198</x:v>
      </x:c>
      <x:c r="M116" s="17" t="n">
        <x:v>1</x:v>
      </x:c>
      <x:c r="N116" s="2" t="str">
        <x:v>GLOOMWING</x:v>
      </x:c>
    </x:row>
    <x:row r="117" ht="38" customHeight="1">
      <x:c r="A117" s="2" t="str">
        <x:v>Mob_Portal_GLOOMWING_T2</x:v>
      </x:c>
      <x:c r="B117" s="2" t="str">
        <x:v>Character</x:v>
      </x:c>
      <x:c r="C117" s="2" t="str">
        <x:v>Portal Realm</x:v>
      </x:c>
      <x:c r="D117" s="4" t="str">
        <x:v>Encounter visual: GLOOMWING</x:v>
      </x:c>
      <x:c r="E117" s="6" t="n">
        <x:v>616</x:v>
      </x:c>
      <x:c r="F117" s="2" t="str">
        <x:v>PortalCreatureV1</x:v>
      </x:c>
      <x:c r="G117" s="4" t="str">
        <x:v>Idle, Walk, Attack, Hurt</x:v>
      </x:c>
      <x:c r="H117" s="2" t="str">
        <x:v>Validated</x:v>
      </x:c>
      <x:c r="I117" s="2" t="str">
        <x:v>Pending</x:v>
      </x:c>
      <x:c r="J117" s="2" t="str">
        <x:v>Binding pending</x:v>
      </x:c>
      <x:c r="K117" s="2" t="str">
        <x:v>portal-buildout/monsters/Mob_Portal_GLOOMWING_T2.glb</x:v>
      </x:c>
      <x:c r="L117" s="2" t="str">
        <x:v>f122801696b2593c838ce2593dd1cac5476255018ff7436576a2bb88f1b50108</x:v>
      </x:c>
      <x:c r="M117" s="17" t="n">
        <x:v>0</x:v>
      </x:c>
      <x:c r="N117" s="2" t="str">
        <x:v>GLOOMWING</x:v>
      </x:c>
    </x:row>
    <x:row r="118" ht="38" customHeight="1">
      <x:c r="A118" s="2" t="str">
        <x:v>Mob_Portal_GLOOMWING_T3</x:v>
      </x:c>
      <x:c r="B118" s="2" t="str">
        <x:v>Character</x:v>
      </x:c>
      <x:c r="C118" s="2" t="str">
        <x:v>Portal Realm</x:v>
      </x:c>
      <x:c r="D118" s="4" t="str">
        <x:v>Encounter visual: GLOOMWING</x:v>
      </x:c>
      <x:c r="E118" s="6" t="n">
        <x:v>616</x:v>
      </x:c>
      <x:c r="F118" s="2" t="str">
        <x:v>PortalCreatureV1</x:v>
      </x:c>
      <x:c r="G118" s="4" t="str">
        <x:v>Idle, Walk, Attack, Hurt</x:v>
      </x:c>
      <x:c r="H118" s="2" t="str">
        <x:v>Validated</x:v>
      </x:c>
      <x:c r="I118" s="2" t="str">
        <x:v>Pending</x:v>
      </x:c>
      <x:c r="J118" s="2" t="str">
        <x:v>Binding pending</x:v>
      </x:c>
      <x:c r="K118" s="2" t="str">
        <x:v>portal-buildout/monsters/Mob_Portal_GLOOMWING_T3.glb</x:v>
      </x:c>
      <x:c r="L118" s="2" t="str">
        <x:v>f82a81cf00227f335a77a02b06c81e51b5efc45ba842e8e06272752eb01d3017</x:v>
      </x:c>
      <x:c r="M118" s="17" t="n">
        <x:v>0</x:v>
      </x:c>
      <x:c r="N118" s="2" t="str">
        <x:v>GLOOMWING</x:v>
      </x:c>
    </x:row>
    <x:row r="119" ht="38" customHeight="1">
      <x:c r="A119" s="2" t="str">
        <x:v>Mob_Portal_STARE_ORB_T1</x:v>
      </x:c>
      <x:c r="B119" s="2" t="str">
        <x:v>Character</x:v>
      </x:c>
      <x:c r="C119" s="2" t="str">
        <x:v>Portal Realm</x:v>
      </x:c>
      <x:c r="D119" s="4" t="str">
        <x:v>Encounter visual: STARE ORB</x:v>
      </x:c>
      <x:c r="E119" s="6" t="n">
        <x:v>360</x:v>
      </x:c>
      <x:c r="F119" s="2" t="str">
        <x:v>PortalCreatureV1</x:v>
      </x:c>
      <x:c r="G119" s="4" t="str">
        <x:v>Idle, Walk, Attack, Hurt</x:v>
      </x:c>
      <x:c r="H119" s="2" t="str">
        <x:v>Validated</x:v>
      </x:c>
      <x:c r="I119" s="2" t="str">
        <x:v>Pending</x:v>
      </x:c>
      <x:c r="J119" s="2" t="str">
        <x:v>Binding pending</x:v>
      </x:c>
      <x:c r="K119" s="2" t="str">
        <x:v>portal-buildout/monsters/Mob_Portal_STARE_ORB_T1.glb</x:v>
      </x:c>
      <x:c r="L119" s="2" t="str">
        <x:v>97018ec18804fe2efe4e7486afe2f90d6320165d7ddaf3f1324437b35b63b34d</x:v>
      </x:c>
      <x:c r="M119" s="17" t="n">
        <x:v>1</x:v>
      </x:c>
      <x:c r="N119" s="2" t="str">
        <x:v>STARE_ORB</x:v>
      </x:c>
    </x:row>
    <x:row r="120" ht="38" customHeight="1">
      <x:c r="A120" s="2" t="str">
        <x:v>Mob_Portal_STARE_ORB_T2</x:v>
      </x:c>
      <x:c r="B120" s="2" t="str">
        <x:v>Character</x:v>
      </x:c>
      <x:c r="C120" s="2" t="str">
        <x:v>Portal Realm</x:v>
      </x:c>
      <x:c r="D120" s="4" t="str">
        <x:v>Encounter visual: STARE ORB</x:v>
      </x:c>
      <x:c r="E120" s="6" t="n">
        <x:v>360</x:v>
      </x:c>
      <x:c r="F120" s="2" t="str">
        <x:v>PortalCreatureV1</x:v>
      </x:c>
      <x:c r="G120" s="4" t="str">
        <x:v>Idle, Walk, Attack, Hurt</x:v>
      </x:c>
      <x:c r="H120" s="2" t="str">
        <x:v>Validated</x:v>
      </x:c>
      <x:c r="I120" s="2" t="str">
        <x:v>Pending</x:v>
      </x:c>
      <x:c r="J120" s="2" t="str">
        <x:v>Binding pending</x:v>
      </x:c>
      <x:c r="K120" s="2" t="str">
        <x:v>portal-buildout/monsters/Mob_Portal_STARE_ORB_T2.glb</x:v>
      </x:c>
      <x:c r="L120" s="2" t="str">
        <x:v>296a7e9c1849950e841f7dd40df6fa96ac196fc3ec71e890f46d6bae3413d977</x:v>
      </x:c>
      <x:c r="M120" s="17" t="n">
        <x:v>0</x:v>
      </x:c>
      <x:c r="N120" s="2" t="str">
        <x:v>STARE_ORB</x:v>
      </x:c>
    </x:row>
    <x:row r="121" ht="38" customHeight="1">
      <x:c r="A121" s="2" t="str">
        <x:v>Mob_Portal_STARE_ORB_T3</x:v>
      </x:c>
      <x:c r="B121" s="2" t="str">
        <x:v>Character</x:v>
      </x:c>
      <x:c r="C121" s="2" t="str">
        <x:v>Portal Realm</x:v>
      </x:c>
      <x:c r="D121" s="4" t="str">
        <x:v>Encounter visual: STARE ORB</x:v>
      </x:c>
      <x:c r="E121" s="6" t="n">
        <x:v>360</x:v>
      </x:c>
      <x:c r="F121" s="2" t="str">
        <x:v>PortalCreatureV1</x:v>
      </x:c>
      <x:c r="G121" s="4" t="str">
        <x:v>Idle, Walk, Attack, Hurt</x:v>
      </x:c>
      <x:c r="H121" s="2" t="str">
        <x:v>Validated</x:v>
      </x:c>
      <x:c r="I121" s="2" t="str">
        <x:v>Pending</x:v>
      </x:c>
      <x:c r="J121" s="2" t="str">
        <x:v>Binding pending</x:v>
      </x:c>
      <x:c r="K121" s="2" t="str">
        <x:v>portal-buildout/monsters/Mob_Portal_STARE_ORB_T3.glb</x:v>
      </x:c>
      <x:c r="L121" s="2" t="str">
        <x:v>73a7f33e5f421677e1dd386de7e429cd9ab9b1ece4f57aa7e6b9d4d1fdb85454</x:v>
      </x:c>
      <x:c r="M121" s="17" t="n">
        <x:v>0</x:v>
      </x:c>
      <x:c r="N121" s="2" t="str">
        <x:v>STARE_ORB</x:v>
      </x:c>
    </x:row>
    <x:row r="122" ht="38" customHeight="1">
      <x:c r="A122" s="2" t="str">
        <x:v>Mob_Portal_GNASHBOX_T1</x:v>
      </x:c>
      <x:c r="B122" s="2" t="str">
        <x:v>Character</x:v>
      </x:c>
      <x:c r="C122" s="2" t="str">
        <x:v>Portal Realm</x:v>
      </x:c>
      <x:c r="D122" s="4" t="str">
        <x:v>Encounter visual: GNASHBOX</x:v>
      </x:c>
      <x:c r="E122" s="6" t="n">
        <x:v>272</x:v>
      </x:c>
      <x:c r="F122" s="2" t="str">
        <x:v>PortalCreatureV1</x:v>
      </x:c>
      <x:c r="G122" s="4" t="str">
        <x:v>Idle, Walk, Attack, Hurt</x:v>
      </x:c>
      <x:c r="H122" s="2" t="str">
        <x:v>Validated</x:v>
      </x:c>
      <x:c r="I122" s="2" t="str">
        <x:v>Pending</x:v>
      </x:c>
      <x:c r="J122" s="2" t="str">
        <x:v>Binding pending</x:v>
      </x:c>
      <x:c r="K122" s="2" t="str">
        <x:v>portal-buildout/monsters/Mob_Portal_GNASHBOX_T1.glb</x:v>
      </x:c>
      <x:c r="L122" s="2" t="str">
        <x:v>612ff2074c2fb4669e1b0ed3dae57537f48985b8b3cf8e21b954586c9f4c7bcf</x:v>
      </x:c>
      <x:c r="M122" s="17" t="n">
        <x:v>1</x:v>
      </x:c>
      <x:c r="N122" s="2" t="str">
        <x:v>GNASHBOX</x:v>
      </x:c>
    </x:row>
    <x:row r="123" ht="38" customHeight="1">
      <x:c r="A123" s="2" t="str">
        <x:v>Mob_Portal_GNASHBOX_T2</x:v>
      </x:c>
      <x:c r="B123" s="2" t="str">
        <x:v>Character</x:v>
      </x:c>
      <x:c r="C123" s="2" t="str">
        <x:v>Portal Realm</x:v>
      </x:c>
      <x:c r="D123" s="4" t="str">
        <x:v>Encounter visual: GNASHBOX</x:v>
      </x:c>
      <x:c r="E123" s="6" t="n">
        <x:v>272</x:v>
      </x:c>
      <x:c r="F123" s="2" t="str">
        <x:v>PortalCreatureV1</x:v>
      </x:c>
      <x:c r="G123" s="4" t="str">
        <x:v>Idle, Walk, Attack, Hurt</x:v>
      </x:c>
      <x:c r="H123" s="2" t="str">
        <x:v>Validated</x:v>
      </x:c>
      <x:c r="I123" s="2" t="str">
        <x:v>Pending</x:v>
      </x:c>
      <x:c r="J123" s="2" t="str">
        <x:v>Binding pending</x:v>
      </x:c>
      <x:c r="K123" s="2" t="str">
        <x:v>portal-buildout/monsters/Mob_Portal_GNASHBOX_T2.glb</x:v>
      </x:c>
      <x:c r="L123" s="2" t="str">
        <x:v>4e0f028d1017c85d5b5fdca900e09d7032952ee35986bbdef5bc8b46444812e8</x:v>
      </x:c>
      <x:c r="M123" s="17" t="n">
        <x:v>0</x:v>
      </x:c>
      <x:c r="N123" s="2" t="str">
        <x:v>GNASHBOX</x:v>
      </x:c>
    </x:row>
    <x:row r="124" ht="38" customHeight="1">
      <x:c r="A124" s="2" t="str">
        <x:v>Mob_Portal_GNASHBOX_T3</x:v>
      </x:c>
      <x:c r="B124" s="2" t="str">
        <x:v>Character</x:v>
      </x:c>
      <x:c r="C124" s="2" t="str">
        <x:v>Portal Realm</x:v>
      </x:c>
      <x:c r="D124" s="4" t="str">
        <x:v>Encounter visual: GNASHBOX</x:v>
      </x:c>
      <x:c r="E124" s="6" t="n">
        <x:v>272</x:v>
      </x:c>
      <x:c r="F124" s="2" t="str">
        <x:v>PortalCreatureV1</x:v>
      </x:c>
      <x:c r="G124" s="4" t="str">
        <x:v>Idle, Walk, Attack, Hurt</x:v>
      </x:c>
      <x:c r="H124" s="2" t="str">
        <x:v>Validated</x:v>
      </x:c>
      <x:c r="I124" s="2" t="str">
        <x:v>Pending</x:v>
      </x:c>
      <x:c r="J124" s="2" t="str">
        <x:v>Binding pending</x:v>
      </x:c>
      <x:c r="K124" s="2" t="str">
        <x:v>portal-buildout/monsters/Mob_Portal_GNASHBOX_T3.glb</x:v>
      </x:c>
      <x:c r="L124" s="2" t="str">
        <x:v>aeb34f40e791703ec5f9c94c99c213b7f9c43f38178effe544162b338cbd991c</x:v>
      </x:c>
      <x:c r="M124" s="17" t="n">
        <x:v>0</x:v>
      </x:c>
      <x:c r="N124" s="2" t="str">
        <x:v>GNASHBOX</x:v>
      </x:c>
    </x:row>
    <x:row r="125" ht="38" customHeight="1">
      <x:c r="A125" s="2" t="str">
        <x:v>Mob_Portal_MOSS_KNIGHT_T1</x:v>
      </x:c>
      <x:c r="B125" s="2" t="str">
        <x:v>Character</x:v>
      </x:c>
      <x:c r="C125" s="2" t="str">
        <x:v>Portal Realm</x:v>
      </x:c>
      <x:c r="D125" s="4" t="str">
        <x:v>Encounter visual: MOSS KNIGHT</x:v>
      </x:c>
      <x:c r="E125" s="6" t="n">
        <x:v>376</x:v>
      </x:c>
      <x:c r="F125" s="2" t="str">
        <x:v>PortalCreatureV1</x:v>
      </x:c>
      <x:c r="G125" s="4" t="str">
        <x:v>Idle, Walk, Attack, Hurt</x:v>
      </x:c>
      <x:c r="H125" s="2" t="str">
        <x:v>Validated</x:v>
      </x:c>
      <x:c r="I125" s="2" t="str">
        <x:v>Pending</x:v>
      </x:c>
      <x:c r="J125" s="2" t="str">
        <x:v>Binding pending</x:v>
      </x:c>
      <x:c r="K125" s="2" t="str">
        <x:v>portal-buildout/monsters/Mob_Portal_MOSS_KNIGHT_T1.glb</x:v>
      </x:c>
      <x:c r="L125" s="2" t="str">
        <x:v>e2dfd5f053ef6159d10d41b1993f7774627d22c3f911bffae8b4536e1ea52a85</x:v>
      </x:c>
      <x:c r="M125" s="17" t="n">
        <x:v>1</x:v>
      </x:c>
      <x:c r="N125" s="2" t="str">
        <x:v>MOSS_KNIGHT</x:v>
      </x:c>
    </x:row>
    <x:row r="126" ht="38" customHeight="1">
      <x:c r="A126" s="2" t="str">
        <x:v>Mob_Portal_MOSS_KNIGHT_T2</x:v>
      </x:c>
      <x:c r="B126" s="2" t="str">
        <x:v>Character</x:v>
      </x:c>
      <x:c r="C126" s="2" t="str">
        <x:v>Portal Realm</x:v>
      </x:c>
      <x:c r="D126" s="4" t="str">
        <x:v>Encounter visual: MOSS KNIGHT</x:v>
      </x:c>
      <x:c r="E126" s="6" t="n">
        <x:v>376</x:v>
      </x:c>
      <x:c r="F126" s="2" t="str">
        <x:v>PortalCreatureV1</x:v>
      </x:c>
      <x:c r="G126" s="4" t="str">
        <x:v>Idle, Walk, Attack, Hurt</x:v>
      </x:c>
      <x:c r="H126" s="2" t="str">
        <x:v>Validated</x:v>
      </x:c>
      <x:c r="I126" s="2" t="str">
        <x:v>Pending</x:v>
      </x:c>
      <x:c r="J126" s="2" t="str">
        <x:v>Binding pending</x:v>
      </x:c>
      <x:c r="K126" s="2" t="str">
        <x:v>portal-buildout/monsters/Mob_Portal_MOSS_KNIGHT_T2.glb</x:v>
      </x:c>
      <x:c r="L126" s="2" t="str">
        <x:v>6671fcce3ae0835aa8fee34fde8a4927439bccf9e2116fbb7835bb716cc60024</x:v>
      </x:c>
      <x:c r="M126" s="17" t="n">
        <x:v>0</x:v>
      </x:c>
      <x:c r="N126" s="2" t="str">
        <x:v>MOSS_KNIGHT</x:v>
      </x:c>
    </x:row>
    <x:row r="127" ht="38" customHeight="1">
      <x:c r="A127" s="2" t="str">
        <x:v>Mob_Portal_MOSS_KNIGHT_T3</x:v>
      </x:c>
      <x:c r="B127" s="2" t="str">
        <x:v>Character</x:v>
      </x:c>
      <x:c r="C127" s="2" t="str">
        <x:v>Portal Realm</x:v>
      </x:c>
      <x:c r="D127" s="4" t="str">
        <x:v>Encounter visual: MOSS KNIGHT</x:v>
      </x:c>
      <x:c r="E127" s="6" t="n">
        <x:v>376</x:v>
      </x:c>
      <x:c r="F127" s="2" t="str">
        <x:v>PortalCreatureV1</x:v>
      </x:c>
      <x:c r="G127" s="4" t="str">
        <x:v>Idle, Walk, Attack, Hurt</x:v>
      </x:c>
      <x:c r="H127" s="2" t="str">
        <x:v>Validated</x:v>
      </x:c>
      <x:c r="I127" s="2" t="str">
        <x:v>Pending</x:v>
      </x:c>
      <x:c r="J127" s="2" t="str">
        <x:v>Binding pending</x:v>
      </x:c>
      <x:c r="K127" s="2" t="str">
        <x:v>portal-buildout/monsters/Mob_Portal_MOSS_KNIGHT_T3.glb</x:v>
      </x:c>
      <x:c r="L127" s="2" t="str">
        <x:v>f867c48e4c9117d4c1399e9c93ba248611777b45dada9383c056175d91902303</x:v>
      </x:c>
      <x:c r="M127" s="17" t="n">
        <x:v>0</x:v>
      </x:c>
      <x:c r="N127" s="2" t="str">
        <x:v>MOSS_KNIGHT</x:v>
      </x:c>
    </x:row>
    <x:row r="128" ht="38" customHeight="1">
      <x:c r="A128" s="2" t="str">
        <x:v>Mob_Portal_STONE_KNIGHT_T1</x:v>
      </x:c>
      <x:c r="B128" s="2" t="str">
        <x:v>Character</x:v>
      </x:c>
      <x:c r="C128" s="2" t="str">
        <x:v>Portal Realm</x:v>
      </x:c>
      <x:c r="D128" s="4" t="str">
        <x:v>Encounter visual: STONE KNIGHT</x:v>
      </x:c>
      <x:c r="E128" s="6" t="n">
        <x:v>376</x:v>
      </x:c>
      <x:c r="F128" s="2" t="str">
        <x:v>PortalCreatureV1</x:v>
      </x:c>
      <x:c r="G128" s="4" t="str">
        <x:v>Idle, Walk, Attack, Hurt</x:v>
      </x:c>
      <x:c r="H128" s="2" t="str">
        <x:v>Validated</x:v>
      </x:c>
      <x:c r="I128" s="2" t="str">
        <x:v>Pending</x:v>
      </x:c>
      <x:c r="J128" s="2" t="str">
        <x:v>Binding pending</x:v>
      </x:c>
      <x:c r="K128" s="2" t="str">
        <x:v>portal-buildout/monsters/Mob_Portal_STONE_KNIGHT_T1.glb</x:v>
      </x:c>
      <x:c r="L128" s="2" t="str">
        <x:v>563ddaff916f00d458d2663482e82580ffe6b0c6933dd1dd339d44e1e0ec2a14</x:v>
      </x:c>
      <x:c r="M128" s="17" t="n">
        <x:v>1</x:v>
      </x:c>
      <x:c r="N128" s="2" t="str">
        <x:v>STONE_KNIGHT</x:v>
      </x:c>
    </x:row>
    <x:row r="129" ht="38" customHeight="1">
      <x:c r="A129" s="2" t="str">
        <x:v>Mob_Portal_STONE_KNIGHT_T2</x:v>
      </x:c>
      <x:c r="B129" s="2" t="str">
        <x:v>Character</x:v>
      </x:c>
      <x:c r="C129" s="2" t="str">
        <x:v>Portal Realm</x:v>
      </x:c>
      <x:c r="D129" s="4" t="str">
        <x:v>Encounter visual: STONE KNIGHT</x:v>
      </x:c>
      <x:c r="E129" s="6" t="n">
        <x:v>376</x:v>
      </x:c>
      <x:c r="F129" s="2" t="str">
        <x:v>PortalCreatureV1</x:v>
      </x:c>
      <x:c r="G129" s="4" t="str">
        <x:v>Idle, Walk, Attack, Hurt</x:v>
      </x:c>
      <x:c r="H129" s="2" t="str">
        <x:v>Validated</x:v>
      </x:c>
      <x:c r="I129" s="2" t="str">
        <x:v>Pending</x:v>
      </x:c>
      <x:c r="J129" s="2" t="str">
        <x:v>Binding pending</x:v>
      </x:c>
      <x:c r="K129" s="2" t="str">
        <x:v>portal-buildout/monsters/Mob_Portal_STONE_KNIGHT_T2.glb</x:v>
      </x:c>
      <x:c r="L129" s="2" t="str">
        <x:v>84d71670d007e64c1248046623bc50c4f86758f0730738878fd08cfc230aa86b</x:v>
      </x:c>
      <x:c r="M129" s="17" t="n">
        <x:v>0</x:v>
      </x:c>
      <x:c r="N129" s="2" t="str">
        <x:v>STONE_KNIGHT</x:v>
      </x:c>
    </x:row>
    <x:row r="130" ht="38" customHeight="1">
      <x:c r="A130" s="2" t="str">
        <x:v>Mob_Portal_STONE_KNIGHT_T3</x:v>
      </x:c>
      <x:c r="B130" s="2" t="str">
        <x:v>Character</x:v>
      </x:c>
      <x:c r="C130" s="2" t="str">
        <x:v>Portal Realm</x:v>
      </x:c>
      <x:c r="D130" s="4" t="str">
        <x:v>Encounter visual: STONE KNIGHT</x:v>
      </x:c>
      <x:c r="E130" s="6" t="n">
        <x:v>376</x:v>
      </x:c>
      <x:c r="F130" s="2" t="str">
        <x:v>PortalCreatureV1</x:v>
      </x:c>
      <x:c r="G130" s="4" t="str">
        <x:v>Idle, Walk, Attack, Hurt</x:v>
      </x:c>
      <x:c r="H130" s="2" t="str">
        <x:v>Validated</x:v>
      </x:c>
      <x:c r="I130" s="2" t="str">
        <x:v>Pending</x:v>
      </x:c>
      <x:c r="J130" s="2" t="str">
        <x:v>Binding pending</x:v>
      </x:c>
      <x:c r="K130" s="2" t="str">
        <x:v>portal-buildout/monsters/Mob_Portal_STONE_KNIGHT_T3.glb</x:v>
      </x:c>
      <x:c r="L130" s="2" t="str">
        <x:v>e745314bcf93232f8f37671298985886f8f981ee86e23b584918006e9411ce1b</x:v>
      </x:c>
      <x:c r="M130" s="17" t="n">
        <x:v>0</x:v>
      </x:c>
      <x:c r="N130" s="2" t="str">
        <x:v>STONE_KNIGHT</x:v>
      </x:c>
    </x:row>
    <x:row r="131" ht="38" customHeight="1">
      <x:c r="A131" s="2" t="str">
        <x:v>Mob_Portal_SHARD_TYRANT_T1</x:v>
      </x:c>
      <x:c r="B131" s="2" t="str">
        <x:v>Character</x:v>
      </x:c>
      <x:c r="C131" s="2" t="str">
        <x:v>Portal Realm</x:v>
      </x:c>
      <x:c r="D131" s="4" t="str">
        <x:v>Encounter visual: SHARD TYRANT</x:v>
      </x:c>
      <x:c r="E131" s="6" t="n">
        <x:v>430</x:v>
      </x:c>
      <x:c r="F131" s="2" t="str">
        <x:v>PortalCreatureV1</x:v>
      </x:c>
      <x:c r="G131" s="4" t="str">
        <x:v>Idle, Walk, Attack, Hurt</x:v>
      </x:c>
      <x:c r="H131" s="2" t="str">
        <x:v>Validated</x:v>
      </x:c>
      <x:c r="I131" s="2" t="str">
        <x:v>Pending</x:v>
      </x:c>
      <x:c r="J131" s="2" t="str">
        <x:v>Binding pending</x:v>
      </x:c>
      <x:c r="K131" s="2" t="str">
        <x:v>portal-buildout/monsters/Mob_Portal_SHARD_TYRANT_T1.glb</x:v>
      </x:c>
      <x:c r="L131" s="2" t="str">
        <x:v>d8b40c20b5131d8f674cdf281a9dcfff87cac4b0199a7530c64044295a185fa1</x:v>
      </x:c>
      <x:c r="M131" s="17" t="n">
        <x:v>1</x:v>
      </x:c>
      <x:c r="N131" s="2" t="str">
        <x:v>SHARD_TYRANT</x:v>
      </x:c>
    </x:row>
    <x:row r="132" ht="38" customHeight="1">
      <x:c r="A132" s="2" t="str">
        <x:v>Mob_Portal_SHARD_TYRANT_T2</x:v>
      </x:c>
      <x:c r="B132" s="2" t="str">
        <x:v>Character</x:v>
      </x:c>
      <x:c r="C132" s="2" t="str">
        <x:v>Portal Realm</x:v>
      </x:c>
      <x:c r="D132" s="4" t="str">
        <x:v>Encounter visual: SHARD TYRANT</x:v>
      </x:c>
      <x:c r="E132" s="6" t="n">
        <x:v>430</x:v>
      </x:c>
      <x:c r="F132" s="2" t="str">
        <x:v>PortalCreatureV1</x:v>
      </x:c>
      <x:c r="G132" s="4" t="str">
        <x:v>Idle, Walk, Attack, Hurt</x:v>
      </x:c>
      <x:c r="H132" s="2" t="str">
        <x:v>Validated</x:v>
      </x:c>
      <x:c r="I132" s="2" t="str">
        <x:v>Pending</x:v>
      </x:c>
      <x:c r="J132" s="2" t="str">
        <x:v>Binding pending</x:v>
      </x:c>
      <x:c r="K132" s="2" t="str">
        <x:v>portal-buildout/monsters/Mob_Portal_SHARD_TYRANT_T2.glb</x:v>
      </x:c>
      <x:c r="L132" s="2" t="str">
        <x:v>ce4c040728ab120512e972a15959e6fbb3ec0eba926a0a7a5ed96ce39b932f16</x:v>
      </x:c>
      <x:c r="M132" s="17" t="n">
        <x:v>0</x:v>
      </x:c>
      <x:c r="N132" s="2" t="str">
        <x:v>SHARD_TYRANT</x:v>
      </x:c>
    </x:row>
    <x:row r="133" ht="38" customHeight="1">
      <x:c r="A133" s="2" t="str">
        <x:v>Mob_Portal_SHARD_TYRANT_T3</x:v>
      </x:c>
      <x:c r="B133" s="2" t="str">
        <x:v>Character</x:v>
      </x:c>
      <x:c r="C133" s="2" t="str">
        <x:v>Portal Realm</x:v>
      </x:c>
      <x:c r="D133" s="4" t="str">
        <x:v>Encounter visual: SHARD TYRANT</x:v>
      </x:c>
      <x:c r="E133" s="6" t="n">
        <x:v>430</x:v>
      </x:c>
      <x:c r="F133" s="2" t="str">
        <x:v>PortalCreatureV1</x:v>
      </x:c>
      <x:c r="G133" s="4" t="str">
        <x:v>Idle, Walk, Attack, Hurt</x:v>
      </x:c>
      <x:c r="H133" s="2" t="str">
        <x:v>Validated</x:v>
      </x:c>
      <x:c r="I133" s="2" t="str">
        <x:v>Pending</x:v>
      </x:c>
      <x:c r="J133" s="2" t="str">
        <x:v>Binding pending</x:v>
      </x:c>
      <x:c r="K133" s="2" t="str">
        <x:v>portal-buildout/monsters/Mob_Portal_SHARD_TYRANT_T3.glb</x:v>
      </x:c>
      <x:c r="L133" s="2" t="str">
        <x:v>3cd79da9f5aa8d9da2b342fb3c026e3673e953f5dc9289ddc0dfba3a1a6e896f</x:v>
      </x:c>
      <x:c r="M133" s="17" t="n">
        <x:v>0</x:v>
      </x:c>
      <x:c r="N133" s="2" t="str">
        <x:v>SHARD_TYRANT</x:v>
      </x:c>
    </x:row>
    <x:row r="134" ht="38" customHeight="1">
      <x:c r="A134" s="2" t="str">
        <x:v>Mob_Portal_GOLDEN_PUFFCAP_T1</x:v>
      </x:c>
      <x:c r="B134" s="2" t="str">
        <x:v>Character</x:v>
      </x:c>
      <x:c r="C134" s="2" t="str">
        <x:v>Portal Realm</x:v>
      </x:c>
      <x:c r="D134" s="4" t="str">
        <x:v>Encounter visual: GOLDEN PUFFCAP</x:v>
      </x:c>
      <x:c r="E134" s="6" t="n">
        <x:v>540</x:v>
      </x:c>
      <x:c r="F134" s="2" t="str">
        <x:v>PortalCreatureV1</x:v>
      </x:c>
      <x:c r="G134" s="4" t="str">
        <x:v>Idle, Walk, Attack, Hurt</x:v>
      </x:c>
      <x:c r="H134" s="2" t="str">
        <x:v>Validated</x:v>
      </x:c>
      <x:c r="I134" s="2" t="str">
        <x:v>Pending</x:v>
      </x:c>
      <x:c r="J134" s="2" t="str">
        <x:v>Binding pending</x:v>
      </x:c>
      <x:c r="K134" s="2" t="str">
        <x:v>portal-buildout/monsters/Mob_Portal_GOLDEN_PUFFCAP_T1.glb</x:v>
      </x:c>
      <x:c r="L134" s="2" t="str">
        <x:v>7318683ea953bf609c343cf353cc1906939ead358d10ade2d905890197b3266a</x:v>
      </x:c>
      <x:c r="M134" s="17" t="n">
        <x:v>1</x:v>
      </x:c>
      <x:c r="N134" s="2" t="str">
        <x:v>n.a.</x:v>
      </x:c>
    </x:row>
    <x:row r="135" ht="38" customHeight="1">
      <x:c r="A135" s="2" t="str">
        <x:v>Mob_Portal_EGG_HATCHLING_T1</x:v>
      </x:c>
      <x:c r="B135" s="2" t="str">
        <x:v>Character</x:v>
      </x:c>
      <x:c r="C135" s="2" t="str">
        <x:v>Portal Realm</x:v>
      </x:c>
      <x:c r="D135" s="4" t="str">
        <x:v>Encounter visual: EGG HATCHLING</x:v>
      </x:c>
      <x:c r="E135" s="6" t="n">
        <x:v>492</x:v>
      </x:c>
      <x:c r="F135" s="2" t="str">
        <x:v>PortalCreatureV1</x:v>
      </x:c>
      <x:c r="G135" s="4" t="str">
        <x:v>Idle, Walk, Attack, Hurt</x:v>
      </x:c>
      <x:c r="H135" s="2" t="str">
        <x:v>Validated</x:v>
      </x:c>
      <x:c r="I135" s="2" t="str">
        <x:v>Pending</x:v>
      </x:c>
      <x:c r="J135" s="2" t="str">
        <x:v>Binding pending</x:v>
      </x:c>
      <x:c r="K135" s="2" t="str">
        <x:v>portal-buildout/monsters/Mob_Portal_EGG_HATCHLING_T1.glb</x:v>
      </x:c>
      <x:c r="L135" s="2" t="str">
        <x:v>aa8b07955535b8d7947d085f6e4d038934a55cb3b01c4aa8b0957f2c7ff8d359</x:v>
      </x:c>
      <x:c r="M135" s="17" t="n">
        <x:v>1</x:v>
      </x:c>
      <x:c r="N135" s="2" t="str">
        <x:v>n.a.</x:v>
      </x:c>
    </x:row>
    <x:row r="136" ht="38" customHeight="1">
      <x:c r="A136" s="2" t="str">
        <x:v>Mob_Portal_YOUNG_DRAGON_T1</x:v>
      </x:c>
      <x:c r="B136" s="2" t="str">
        <x:v>Character</x:v>
      </x:c>
      <x:c r="C136" s="2" t="str">
        <x:v>Portal Realm</x:v>
      </x:c>
      <x:c r="D136" s="4" t="str">
        <x:v>Encounter visual: YOUNG DRAGON</x:v>
      </x:c>
      <x:c r="E136" s="6" t="n">
        <x:v>492</x:v>
      </x:c>
      <x:c r="F136" s="2" t="str">
        <x:v>PortalCreatureV1</x:v>
      </x:c>
      <x:c r="G136" s="4" t="str">
        <x:v>Idle, Walk, Attack, Hurt</x:v>
      </x:c>
      <x:c r="H136" s="2" t="str">
        <x:v>Validated</x:v>
      </x:c>
      <x:c r="I136" s="2" t="str">
        <x:v>Pending</x:v>
      </x:c>
      <x:c r="J136" s="2" t="str">
        <x:v>Binding pending</x:v>
      </x:c>
      <x:c r="K136" s="2" t="str">
        <x:v>portal-buildout/monsters/Mob_Portal_YOUNG_DRAGON_T1.glb</x:v>
      </x:c>
      <x:c r="L136" s="2" t="str">
        <x:v>48c0950114452f3e3dec44bf07060043f1b052dc8e8550aa7c3e54a759afc44a</x:v>
      </x:c>
      <x:c r="M136" s="17" t="n">
        <x:v>0</x:v>
      </x:c>
      <x:c r="N136" s="2" t="str">
        <x:v>n.a.</x:v>
      </x:c>
    </x:row>
    <x:row r="137" ht="38" customHeight="1">
      <x:c r="A137" s="2" t="str">
        <x:v>Prop_Portal_GrassTile</x:v>
      </x:c>
      <x:c r="B137" s="2" t="str">
        <x:v>Prop</x:v>
      </x:c>
      <x:c r="C137" s="2" t="str">
        <x:v>Portal Realm</x:v>
      </x:c>
      <x:c r="D137" s="4" t="str">
        <x:v>Field tile</x:v>
      </x:c>
      <x:c r="E137" s="6" t="n">
        <x:v>12</x:v>
      </x:c>
      <x:c r="F137" s="2" t="str">
        <x:v>static</x:v>
      </x:c>
      <x:c r="G137" s="4" t="str"/>
      <x:c r="H137" s="2" t="str">
        <x:v>Validated</x:v>
      </x:c>
      <x:c r="I137" s="2" t="str">
        <x:v>Pending</x:v>
      </x:c>
      <x:c r="J137" s="2" t="str">
        <x:v>Binding pending</x:v>
      </x:c>
      <x:c r="K137" s="2" t="str">
        <x:v>portal-buildout/environment/Prop_Portal_GrassTile.glb</x:v>
      </x:c>
      <x:c r="L137" s="2" t="str">
        <x:v>6f8336853b0d584f068ff03813650655343ff6d7e50b36987215f4eb510917e0</x:v>
      </x:c>
      <x:c r="M137" s="17" t="n">
        <x:v>0</x:v>
      </x:c>
      <x:c r="N137" s="2" t="str">
        <x:v>n.a.</x:v>
      </x:c>
    </x:row>
    <x:row r="138" ht="38" customHeight="1">
      <x:c r="A138" s="2" t="str">
        <x:v>Prop_Portal_ForestTile</x:v>
      </x:c>
      <x:c r="B138" s="2" t="str">
        <x:v>Prop</x:v>
      </x:c>
      <x:c r="C138" s="2" t="str">
        <x:v>Portal Realm</x:v>
      </x:c>
      <x:c r="D138" s="4" t="str">
        <x:v>Forest tile marker</x:v>
      </x:c>
      <x:c r="E138" s="6" t="n">
        <x:v>58</x:v>
      </x:c>
      <x:c r="F138" s="2" t="str">
        <x:v>static</x:v>
      </x:c>
      <x:c r="G138" s="4" t="str"/>
      <x:c r="H138" s="2" t="str">
        <x:v>Validated</x:v>
      </x:c>
      <x:c r="I138" s="2" t="str">
        <x:v>Pending</x:v>
      </x:c>
      <x:c r="J138" s="2" t="str">
        <x:v>Binding pending</x:v>
      </x:c>
      <x:c r="K138" s="2" t="str">
        <x:v>portal-buildout/environment/Prop_Portal_ForestTile.glb</x:v>
      </x:c>
      <x:c r="L138" s="2" t="str">
        <x:v>996f0dd4779ba7e00ddbd835a32987e5b99e857fcf29b2edcdeec11bfebe016c</x:v>
      </x:c>
      <x:c r="M138" s="17" t="n">
        <x:v>0</x:v>
      </x:c>
      <x:c r="N138" s="2" t="str">
        <x:v>n.a.</x:v>
      </x:c>
    </x:row>
    <x:row r="139" ht="38" customHeight="1">
      <x:c r="A139" s="2" t="str">
        <x:v>Prop_Portal_MountainTile</x:v>
      </x:c>
      <x:c r="B139" s="2" t="str">
        <x:v>Prop</x:v>
      </x:c>
      <x:c r="C139" s="2" t="str">
        <x:v>Portal Realm</x:v>
      </x:c>
      <x:c r="D139" s="4" t="str">
        <x:v>Impassable terrain marker</x:v>
      </x:c>
      <x:c r="E139" s="6" t="n">
        <x:v>18</x:v>
      </x:c>
      <x:c r="F139" s="2" t="str">
        <x:v>static</x:v>
      </x:c>
      <x:c r="G139" s="4" t="str"/>
      <x:c r="H139" s="2" t="str">
        <x:v>Validated</x:v>
      </x:c>
      <x:c r="I139" s="2" t="str">
        <x:v>Pending</x:v>
      </x:c>
      <x:c r="J139" s="2" t="str">
        <x:v>Binding pending</x:v>
      </x:c>
      <x:c r="K139" s="2" t="str">
        <x:v>portal-buildout/environment/Prop_Portal_MountainTile.glb</x:v>
      </x:c>
      <x:c r="L139" s="2" t="str">
        <x:v>8efbfdb185b5840ce9721909f897ddfd7f5441362f4670e0f6d5817b45492e17</x:v>
      </x:c>
      <x:c r="M139" s="17" t="n">
        <x:v>0</x:v>
      </x:c>
      <x:c r="N139" s="2" t="str">
        <x:v>n.a.</x:v>
      </x:c>
    </x:row>
    <x:row r="140" ht="38" customHeight="1">
      <x:c r="A140" s="2" t="str">
        <x:v>Prop_Portal_WaterTile</x:v>
      </x:c>
      <x:c r="B140" s="2" t="str">
        <x:v>Prop</x:v>
      </x:c>
      <x:c r="C140" s="2" t="str">
        <x:v>Portal Realm</x:v>
      </x:c>
      <x:c r="D140" s="4" t="str">
        <x:v>Water terrain</x:v>
      </x:c>
      <x:c r="E140" s="6" t="n">
        <x:v>12</x:v>
      </x:c>
      <x:c r="F140" s="2" t="str">
        <x:v>static</x:v>
      </x:c>
      <x:c r="G140" s="4" t="str"/>
      <x:c r="H140" s="2" t="str">
        <x:v>Validated</x:v>
      </x:c>
      <x:c r="I140" s="2" t="str">
        <x:v>Pending</x:v>
      </x:c>
      <x:c r="J140" s="2" t="str">
        <x:v>Binding pending</x:v>
      </x:c>
      <x:c r="K140" s="2" t="str">
        <x:v>portal-buildout/environment/Prop_Portal_WaterTile.glb</x:v>
      </x:c>
      <x:c r="L140" s="2" t="str">
        <x:v>59b55570a82887a131d326282948616571e5ed1e6d4a9694fc63de39cce0d361</x:v>
      </x:c>
      <x:c r="M140" s="17" t="n">
        <x:v>0</x:v>
      </x:c>
      <x:c r="N140" s="2" t="str">
        <x:v>n.a.</x:v>
      </x:c>
    </x:row>
    <x:row r="141" ht="38" customHeight="1">
      <x:c r="A141" s="2" t="str">
        <x:v>Prop_Portal_SwampTile</x:v>
      </x:c>
      <x:c r="B141" s="2" t="str">
        <x:v>Prop</x:v>
      </x:c>
      <x:c r="C141" s="2" t="str">
        <x:v>Portal Realm</x:v>
      </x:c>
      <x:c r="D141" s="4" t="str">
        <x:v>Swamp terrain</x:v>
      </x:c>
      <x:c r="E141" s="6" t="n">
        <x:v>12</x:v>
      </x:c>
      <x:c r="F141" s="2" t="str">
        <x:v>static</x:v>
      </x:c>
      <x:c r="G141" s="4" t="str"/>
      <x:c r="H141" s="2" t="str">
        <x:v>Validated</x:v>
      </x:c>
      <x:c r="I141" s="2" t="str">
        <x:v>Pending</x:v>
      </x:c>
      <x:c r="J141" s="2" t="str">
        <x:v>Binding pending</x:v>
      </x:c>
      <x:c r="K141" s="2" t="str">
        <x:v>portal-buildout/environment/Prop_Portal_SwampTile.glb</x:v>
      </x:c>
      <x:c r="L141" s="2" t="str">
        <x:v>a2d3a1dc13ad859b5797935fc881be4154e8f16c3ef7d36d3b9a79b3dfa6d87f</x:v>
      </x:c>
      <x:c r="M141" s="17" t="n">
        <x:v>0</x:v>
      </x:c>
      <x:c r="N141" s="2" t="str">
        <x:v>n.a.</x:v>
      </x:c>
    </x:row>
    <x:row r="142" ht="38" customHeight="1">
      <x:c r="A142" s="2" t="str">
        <x:v>Prop_Portal_SandTile</x:v>
      </x:c>
      <x:c r="B142" s="2" t="str">
        <x:v>Prop</x:v>
      </x:c>
      <x:c r="C142" s="2" t="str">
        <x:v>Portal Realm</x:v>
      </x:c>
      <x:c r="D142" s="4" t="str">
        <x:v>Coastal sand</x:v>
      </x:c>
      <x:c r="E142" s="6" t="n">
        <x:v>12</x:v>
      </x:c>
      <x:c r="F142" s="2" t="str">
        <x:v>static</x:v>
      </x:c>
      <x:c r="G142" s="4" t="str"/>
      <x:c r="H142" s="2" t="str">
        <x:v>Validated</x:v>
      </x:c>
      <x:c r="I142" s="2" t="str">
        <x:v>Pending</x:v>
      </x:c>
      <x:c r="J142" s="2" t="str">
        <x:v>Binding pending</x:v>
      </x:c>
      <x:c r="K142" s="2" t="str">
        <x:v>portal-buildout/environment/Prop_Portal_SandTile.glb</x:v>
      </x:c>
      <x:c r="L142" s="2" t="str">
        <x:v>e65596812ad904cfd51c74a251af27dda7aa597507697df70a78709a1d660bda</x:v>
      </x:c>
      <x:c r="M142" s="17" t="n">
        <x:v>0</x:v>
      </x:c>
      <x:c r="N142" s="2" t="str">
        <x:v>n.a.</x:v>
      </x:c>
    </x:row>
    <x:row r="143" ht="38" customHeight="1">
      <x:c r="A143" s="2" t="str">
        <x:v>Prop_Portal_RoadTile</x:v>
      </x:c>
      <x:c r="B143" s="2" t="str">
        <x:v>Prop</x:v>
      </x:c>
      <x:c r="C143" s="2" t="str">
        <x:v>Portal Realm</x:v>
      </x:c>
      <x:c r="D143" s="4" t="str">
        <x:v>Town approach road</x:v>
      </x:c>
      <x:c r="E143" s="6" t="n">
        <x:v>36</x:v>
      </x:c>
      <x:c r="F143" s="2" t="str">
        <x:v>static</x:v>
      </x:c>
      <x:c r="G143" s="4" t="str"/>
      <x:c r="H143" s="2" t="str">
        <x:v>Validated</x:v>
      </x:c>
      <x:c r="I143" s="2" t="str">
        <x:v>Pending</x:v>
      </x:c>
      <x:c r="J143" s="2" t="str">
        <x:v>Binding pending</x:v>
      </x:c>
      <x:c r="K143" s="2" t="str">
        <x:v>portal-buildout/environment/Prop_Portal_RoadTile.glb</x:v>
      </x:c>
      <x:c r="L143" s="2" t="str">
        <x:v>3495b31d2f2e21048518f7c8a9a07d6f1f0c82b62c5289f1656d2000d1e5b70b</x:v>
      </x:c>
      <x:c r="M143" s="17" t="n">
        <x:v>0</x:v>
      </x:c>
      <x:c r="N143" s="2" t="str">
        <x:v>n.a.</x:v>
      </x:c>
    </x:row>
    <x:row r="144" ht="38" customHeight="1">
      <x:c r="A144" s="2" t="str">
        <x:v>Prop_Portal_TownWall</x:v>
      </x:c>
      <x:c r="B144" s="2" t="str">
        <x:v>Prop</x:v>
      </x:c>
      <x:c r="C144" s="2" t="str">
        <x:v>Portal Realm</x:v>
      </x:c>
      <x:c r="D144" s="4" t="str">
        <x:v>Town facade wall</x:v>
      </x:c>
      <x:c r="E144" s="6" t="n">
        <x:v>176</x:v>
      </x:c>
      <x:c r="F144" s="2" t="str">
        <x:v>static</x:v>
      </x:c>
      <x:c r="G144" s="4" t="str"/>
      <x:c r="H144" s="2" t="str">
        <x:v>Validated</x:v>
      </x:c>
      <x:c r="I144" s="2" t="str">
        <x:v>Pending</x:v>
      </x:c>
      <x:c r="J144" s="2" t="str">
        <x:v>Binding pending</x:v>
      </x:c>
      <x:c r="K144" s="2" t="str">
        <x:v>portal-buildout/environment/Prop_Portal_TownWall.glb</x:v>
      </x:c>
      <x:c r="L144" s="2" t="str">
        <x:v>05ede65672ba51d06b8b09dfab2a8dc8c5f9627687f3fc7c03a9992e00e4f302</x:v>
      </x:c>
      <x:c r="M144" s="17" t="n">
        <x:v>0</x:v>
      </x:c>
      <x:c r="N144" s="2" t="str">
        <x:v>n.a.</x:v>
      </x:c>
    </x:row>
    <x:row r="145" ht="38" customHeight="1">
      <x:c r="A145" s="2" t="str">
        <x:v>Prop_Portal_TownDoor</x:v>
      </x:c>
      <x:c r="B145" s="2" t="str">
        <x:v>Prop</x:v>
      </x:c>
      <x:c r="C145" s="2" t="str">
        <x:v>Portal Realm</x:v>
      </x:c>
      <x:c r="D145" s="4" t="str">
        <x:v>Building entry frame</x:v>
      </x:c>
      <x:c r="E145" s="6" t="n">
        <x:v>132</x:v>
      </x:c>
      <x:c r="F145" s="2" t="str">
        <x:v>static</x:v>
      </x:c>
      <x:c r="G145" s="4" t="str"/>
      <x:c r="H145" s="2" t="str">
        <x:v>Validated</x:v>
      </x:c>
      <x:c r="I145" s="2" t="str">
        <x:v>Pending</x:v>
      </x:c>
      <x:c r="J145" s="2" t="str">
        <x:v>Binding pending</x:v>
      </x:c>
      <x:c r="K145" s="2" t="str">
        <x:v>portal-buildout/environment/Prop_Portal_TownDoor.glb</x:v>
      </x:c>
      <x:c r="L145" s="2" t="str">
        <x:v>942d45812ca13827c3bb803a3f64880de37282396897b7ea5ee4ddbe880ef539</x:v>
      </x:c>
      <x:c r="M145" s="17" t="n">
        <x:v>0</x:v>
      </x:c>
      <x:c r="N145" s="2" t="str">
        <x:v>n.a.</x:v>
      </x:c>
    </x:row>
    <x:row r="146" ht="38" customHeight="1">
      <x:c r="A146" s="2" t="str">
        <x:v>Prop_Portal_ShopCounter</x:v>
      </x:c>
      <x:c r="B146" s="2" t="str">
        <x:v>Prop</x:v>
      </x:c>
      <x:c r="C146" s="2" t="str">
        <x:v>Portal Realm</x:v>
      </x:c>
      <x:c r="D146" s="4" t="str">
        <x:v>Shop interaction station</x:v>
      </x:c>
      <x:c r="E146" s="6" t="n">
        <x:v>88</x:v>
      </x:c>
      <x:c r="F146" s="2" t="str">
        <x:v>static</x:v>
      </x:c>
      <x:c r="G146" s="4" t="str"/>
      <x:c r="H146" s="2" t="str">
        <x:v>Validated</x:v>
      </x:c>
      <x:c r="I146" s="2" t="str">
        <x:v>Pending</x:v>
      </x:c>
      <x:c r="J146" s="2" t="str">
        <x:v>Binding pending</x:v>
      </x:c>
      <x:c r="K146" s="2" t="str">
        <x:v>portal-buildout/environment/Prop_Portal_ShopCounter.glb</x:v>
      </x:c>
      <x:c r="L146" s="2" t="str">
        <x:v>04201af4e2acfdf68be81d71e90b12dcfd414f6cdc93ae77a2e9be0b30ac6bee</x:v>
      </x:c>
      <x:c r="M146" s="17" t="n">
        <x:v>0</x:v>
      </x:c>
      <x:c r="N146" s="2" t="str">
        <x:v>n.a.</x:v>
      </x:c>
    </x:row>
    <x:row r="147" ht="38" customHeight="1">
      <x:c r="A147" s="2" t="str">
        <x:v>Prop_Portal_InnBed</x:v>
      </x:c>
      <x:c r="B147" s="2" t="str">
        <x:v>Prop</x:v>
      </x:c>
      <x:c r="C147" s="2" t="str">
        <x:v>Portal Realm</x:v>
      </x:c>
      <x:c r="D147" s="4" t="str">
        <x:v>Inn rest presentation</x:v>
      </x:c>
      <x:c r="E147" s="6" t="n">
        <x:v>176</x:v>
      </x:c>
      <x:c r="F147" s="2" t="str">
        <x:v>static</x:v>
      </x:c>
      <x:c r="G147" s="4" t="str"/>
      <x:c r="H147" s="2" t="str">
        <x:v>Validated</x:v>
      </x:c>
      <x:c r="I147" s="2" t="str">
        <x:v>Pending</x:v>
      </x:c>
      <x:c r="J147" s="2" t="str">
        <x:v>Binding pending</x:v>
      </x:c>
      <x:c r="K147" s="2" t="str">
        <x:v>portal-buildout/environment/Prop_Portal_InnBed.glb</x:v>
      </x:c>
      <x:c r="L147" s="2" t="str">
        <x:v>43745b719b4068cdfc9aec3a6aff35d77484292c42162bd196f74f683ab51684</x:v>
      </x:c>
      <x:c r="M147" s="17" t="n">
        <x:v>0</x:v>
      </x:c>
      <x:c r="N147" s="2" t="str">
        <x:v>n.a.</x:v>
      </x:c>
    </x:row>
    <x:row r="148" ht="38" customHeight="1">
      <x:c r="A148" s="2" t="str">
        <x:v>Prop_Portal_SmithAnvil</x:v>
      </x:c>
      <x:c r="B148" s="2" t="str">
        <x:v>Prop</x:v>
      </x:c>
      <x:c r="C148" s="2" t="str">
        <x:v>Portal Realm</x:v>
      </x:c>
      <x:c r="D148" s="4" t="str">
        <x:v>Equipment upgrade station</x:v>
      </x:c>
      <x:c r="E148" s="6" t="n">
        <x:v>132</x:v>
      </x:c>
      <x:c r="F148" s="2" t="str">
        <x:v>static</x:v>
      </x:c>
      <x:c r="G148" s="4" t="str"/>
      <x:c r="H148" s="2" t="str">
        <x:v>Validated</x:v>
      </x:c>
      <x:c r="I148" s="2" t="str">
        <x:v>Pending</x:v>
      </x:c>
      <x:c r="J148" s="2" t="str">
        <x:v>Binding pending</x:v>
      </x:c>
      <x:c r="K148" s="2" t="str">
        <x:v>portal-buildout/environment/Prop_Portal_SmithAnvil.glb</x:v>
      </x:c>
      <x:c r="L148" s="2" t="str">
        <x:v>1252d8e333c241f22dd2f921ccf59f6799eb1c1c7e9b0d9d09c0635a198d4483</x:v>
      </x:c>
      <x:c r="M148" s="17" t="n">
        <x:v>0</x:v>
      </x:c>
      <x:c r="N148" s="2" t="str">
        <x:v>n.a.</x:v>
      </x:c>
    </x:row>
    <x:row r="149" ht="38" customHeight="1">
      <x:c r="A149" s="2" t="str">
        <x:v>Prop_Portal_CastleWall</x:v>
      </x:c>
      <x:c r="B149" s="2" t="str">
        <x:v>Prop</x:v>
      </x:c>
      <x:c r="C149" s="2" t="str">
        <x:v>Portal Realm</x:v>
      </x:c>
      <x:c r="D149" s="4" t="str">
        <x:v>Castle boundary</x:v>
      </x:c>
      <x:c r="E149" s="6" t="n">
        <x:v>220</x:v>
      </x:c>
      <x:c r="F149" s="2" t="str">
        <x:v>static</x:v>
      </x:c>
      <x:c r="G149" s="4" t="str"/>
      <x:c r="H149" s="2" t="str">
        <x:v>Validated</x:v>
      </x:c>
      <x:c r="I149" s="2" t="str">
        <x:v>Pending</x:v>
      </x:c>
      <x:c r="J149" s="2" t="str">
        <x:v>Binding pending</x:v>
      </x:c>
      <x:c r="K149" s="2" t="str">
        <x:v>portal-buildout/environment/Prop_Portal_CastleWall.glb</x:v>
      </x:c>
      <x:c r="L149" s="2" t="str">
        <x:v>183dfe50b71eaeef7a91f54860a8f98578d26a9f3e25c2e9c5dae9b5c20e8830</x:v>
      </x:c>
      <x:c r="M149" s="17" t="n">
        <x:v>0</x:v>
      </x:c>
      <x:c r="N149" s="2" t="str">
        <x:v>n.a.</x:v>
      </x:c>
    </x:row>
    <x:row r="150" ht="38" customHeight="1">
      <x:c r="A150" s="2" t="str">
        <x:v>Prop_Portal_CastleGate</x:v>
      </x:c>
      <x:c r="B150" s="2" t="str">
        <x:v>Prop</x:v>
      </x:c>
      <x:c r="C150" s="2" t="str">
        <x:v>Portal Realm</x:v>
      </x:c>
      <x:c r="D150" s="4" t="str">
        <x:v>Castle entry frame</x:v>
      </x:c>
      <x:c r="E150" s="6" t="n">
        <x:v>132</x:v>
      </x:c>
      <x:c r="F150" s="2" t="str">
        <x:v>static</x:v>
      </x:c>
      <x:c r="G150" s="4" t="str"/>
      <x:c r="H150" s="2" t="str">
        <x:v>Validated</x:v>
      </x:c>
      <x:c r="I150" s="2" t="str">
        <x:v>Pending</x:v>
      </x:c>
      <x:c r="J150" s="2" t="str">
        <x:v>Binding pending</x:v>
      </x:c>
      <x:c r="K150" s="2" t="str">
        <x:v>portal-buildout/environment/Prop_Portal_CastleGate.glb</x:v>
      </x:c>
      <x:c r="L150" s="2" t="str">
        <x:v>23702e5fd27808d007621da67648db385c943189b5cda64d3f53ef5a015929fa</x:v>
      </x:c>
      <x:c r="M150" s="17" t="n">
        <x:v>0</x:v>
      </x:c>
      <x:c r="N150" s="2" t="str">
        <x:v>n.a.</x:v>
      </x:c>
    </x:row>
    <x:row r="151" ht="38" customHeight="1">
      <x:c r="A151" s="2" t="str">
        <x:v>Prop_Portal_Throne</x:v>
      </x:c>
      <x:c r="B151" s="2" t="str">
        <x:v>Prop</x:v>
      </x:c>
      <x:c r="C151" s="2" t="str">
        <x:v>Portal Realm</x:v>
      </x:c>
      <x:c r="D151" s="4" t="str">
        <x:v>Queen quest presentation</x:v>
      </x:c>
      <x:c r="E151" s="6" t="n">
        <x:v>182</x:v>
      </x:c>
      <x:c r="F151" s="2" t="str">
        <x:v>static</x:v>
      </x:c>
      <x:c r="G151" s="4" t="str"/>
      <x:c r="H151" s="2" t="str">
        <x:v>Validated</x:v>
      </x:c>
      <x:c r="I151" s="2" t="str">
        <x:v>Pending</x:v>
      </x:c>
      <x:c r="J151" s="2" t="str">
        <x:v>Binding pending</x:v>
      </x:c>
      <x:c r="K151" s="2" t="str">
        <x:v>portal-buildout/environment/Prop_Portal_Throne.glb</x:v>
      </x:c>
      <x:c r="L151" s="2" t="str">
        <x:v>acc1da585d00c34e40937322ad86a37548abc5e0575e51a1bb29be779af09873</x:v>
      </x:c>
      <x:c r="M151" s="17" t="n">
        <x:v>0</x:v>
      </x:c>
      <x:c r="N151" s="2" t="str">
        <x:v>n.a.</x:v>
      </x:c>
    </x:row>
    <x:row r="152" ht="38" customHeight="1">
      <x:c r="A152" s="2" t="str">
        <x:v>Prop_Portal_CaveWall</x:v>
      </x:c>
      <x:c r="B152" s="2" t="str">
        <x:v>Prop</x:v>
      </x:c>
      <x:c r="C152" s="2" t="str">
        <x:v>Portal Realm</x:v>
      </x:c>
      <x:c r="D152" s="4" t="str">
        <x:v>Dungeon boundary</x:v>
      </x:c>
      <x:c r="E152" s="6" t="n">
        <x:v>60</x:v>
      </x:c>
      <x:c r="F152" s="2" t="str">
        <x:v>static</x:v>
      </x:c>
      <x:c r="G152" s="4" t="str"/>
      <x:c r="H152" s="2" t="str">
        <x:v>Validated</x:v>
      </x:c>
      <x:c r="I152" s="2" t="str">
        <x:v>Pending</x:v>
      </x:c>
      <x:c r="J152" s="2" t="str">
        <x:v>Binding pending</x:v>
      </x:c>
      <x:c r="K152" s="2" t="str">
        <x:v>portal-buildout/environment/Prop_Portal_CaveWall.glb</x:v>
      </x:c>
      <x:c r="L152" s="2" t="str">
        <x:v>76ebe459cee7719eae3879230388fd583c9a6876efa23a59df53358eab6dc48a</x:v>
      </x:c>
      <x:c r="M152" s="17" t="n">
        <x:v>0</x:v>
      </x:c>
      <x:c r="N152" s="2" t="str">
        <x:v>n.a.</x:v>
      </x:c>
    </x:row>
    <x:row r="153" ht="38" customHeight="1">
      <x:c r="A153" s="2" t="str">
        <x:v>Prop_Portal_CaveFloor</x:v>
      </x:c>
      <x:c r="B153" s="2" t="str">
        <x:v>Prop</x:v>
      </x:c>
      <x:c r="C153" s="2" t="str">
        <x:v>Portal Realm</x:v>
      </x:c>
      <x:c r="D153" s="4" t="str">
        <x:v>Dungeon tile</x:v>
      </x:c>
      <x:c r="E153" s="6" t="n">
        <x:v>12</x:v>
      </x:c>
      <x:c r="F153" s="2" t="str">
        <x:v>static</x:v>
      </x:c>
      <x:c r="G153" s="4" t="str"/>
      <x:c r="H153" s="2" t="str">
        <x:v>Validated</x:v>
      </x:c>
      <x:c r="I153" s="2" t="str">
        <x:v>Pending</x:v>
      </x:c>
      <x:c r="J153" s="2" t="str">
        <x:v>Binding pending</x:v>
      </x:c>
      <x:c r="K153" s="2" t="str">
        <x:v>portal-buildout/environment/Prop_Portal_CaveFloor.glb</x:v>
      </x:c>
      <x:c r="L153" s="2" t="str">
        <x:v>f265a61068a7a46bd9a746e408d259243f9c7a7fb7f1db14ba39011b8697273a</x:v>
      </x:c>
      <x:c r="M153" s="17" t="n">
        <x:v>0</x:v>
      </x:c>
      <x:c r="N153" s="2" t="str">
        <x:v>n.a.</x:v>
      </x:c>
    </x:row>
    <x:row r="154" ht="38" customHeight="1">
      <x:c r="A154" s="2" t="str">
        <x:v>Prop_Portal_StairsDown</x:v>
      </x:c>
      <x:c r="B154" s="2" t="str">
        <x:v>Prop</x:v>
      </x:c>
      <x:c r="C154" s="2" t="str">
        <x:v>Portal Realm</x:v>
      </x:c>
      <x:c r="D154" s="4" t="str">
        <x:v>Dungeon depth transition</x:v>
      </x:c>
      <x:c r="E154" s="6" t="n">
        <x:v>60</x:v>
      </x:c>
      <x:c r="F154" s="2" t="str">
        <x:v>static</x:v>
      </x:c>
      <x:c r="G154" s="4" t="str"/>
      <x:c r="H154" s="2" t="str">
        <x:v>Validated</x:v>
      </x:c>
      <x:c r="I154" s="2" t="str">
        <x:v>Pending</x:v>
      </x:c>
      <x:c r="J154" s="2" t="str">
        <x:v>Binding pending</x:v>
      </x:c>
      <x:c r="K154" s="2" t="str">
        <x:v>portal-buildout/environment/Prop_Portal_StairsDown.glb</x:v>
      </x:c>
      <x:c r="L154" s="2" t="str">
        <x:v>0631eea6b63f09c26606ee147866cb9b5875c75c086a711af4d35516440962b9</x:v>
      </x:c>
      <x:c r="M154" s="17" t="n">
        <x:v>0</x:v>
      </x:c>
      <x:c r="N154" s="2" t="str">
        <x:v>n.a.</x:v>
      </x:c>
    </x:row>
    <x:row r="155" ht="38" customHeight="1">
      <x:c r="A155" s="2" t="str">
        <x:v>Prop_Portal_KeyChest</x:v>
      </x:c>
      <x:c r="B155" s="2" t="str">
        <x:v>Prop</x:v>
      </x:c>
      <x:c r="C155" s="2" t="str">
        <x:v>Portal Realm</x:v>
      </x:c>
      <x:c r="D155" s="4" t="str">
        <x:v>Existing depth loot/key presentation</x:v>
      </x:c>
      <x:c r="E155" s="6" t="n">
        <x:v>132</x:v>
      </x:c>
      <x:c r="F155" s="2" t="str">
        <x:v>static</x:v>
      </x:c>
      <x:c r="G155" s="4" t="str"/>
      <x:c r="H155" s="2" t="str">
        <x:v>Validated</x:v>
      </x:c>
      <x:c r="I155" s="2" t="str">
        <x:v>Pending</x:v>
      </x:c>
      <x:c r="J155" s="2" t="str">
        <x:v>Binding pending</x:v>
      </x:c>
      <x:c r="K155" s="2" t="str">
        <x:v>portal-buildout/environment/Prop_Portal_KeyChest.glb</x:v>
      </x:c>
      <x:c r="L155" s="2" t="str">
        <x:v>6a188aabd9fd110c07cc9ea17b4e1c97e3e28dee6ab550520976b19f0d74545a</x:v>
      </x:c>
      <x:c r="M155" s="17" t="n">
        <x:v>0</x:v>
      </x:c>
      <x:c r="N155" s="2" t="str">
        <x:v>n.a.</x:v>
      </x:c>
    </x:row>
    <x:row r="156" ht="38" customHeight="1">
      <x:c r="A156" s="2" t="str">
        <x:v>Prop_Portal_BronzeGate</x:v>
      </x:c>
      <x:c r="B156" s="2" t="str">
        <x:v>Prop</x:v>
      </x:c>
      <x:c r="C156" s="2" t="str">
        <x:v>Portal Realm</x:v>
      </x:c>
      <x:c r="D156" s="4" t="str">
        <x:v>Bronze lock presentation</x:v>
      </x:c>
      <x:c r="E156" s="6" t="n">
        <x:v>352</x:v>
      </x:c>
      <x:c r="F156" s="2" t="str">
        <x:v>static</x:v>
      </x:c>
      <x:c r="G156" s="4" t="str"/>
      <x:c r="H156" s="2" t="str">
        <x:v>Validated</x:v>
      </x:c>
      <x:c r="I156" s="2" t="str">
        <x:v>Pending</x:v>
      </x:c>
      <x:c r="J156" s="2" t="str">
        <x:v>Binding pending</x:v>
      </x:c>
      <x:c r="K156" s="2" t="str">
        <x:v>portal-buildout/environment/Prop_Portal_BronzeGate.glb</x:v>
      </x:c>
      <x:c r="L156" s="2" t="str">
        <x:v>7e0b48f37772bc4941d2af0d2e93da673960bbd490213570710804bf3162b3b3</x:v>
      </x:c>
      <x:c r="M156" s="17" t="n">
        <x:v>0</x:v>
      </x:c>
      <x:c r="N156" s="2" t="str">
        <x:v>n.a.</x:v>
      </x:c>
    </x:row>
    <x:row r="157" ht="38" customHeight="1">
      <x:c r="A157" s="2" t="str">
        <x:v>Prop_Portal_SilverGate</x:v>
      </x:c>
      <x:c r="B157" s="2" t="str">
        <x:v>Prop</x:v>
      </x:c>
      <x:c r="C157" s="2" t="str">
        <x:v>Portal Realm</x:v>
      </x:c>
      <x:c r="D157" s="4" t="str">
        <x:v>Silver lock presentation</x:v>
      </x:c>
      <x:c r="E157" s="6" t="n">
        <x:v>352</x:v>
      </x:c>
      <x:c r="F157" s="2" t="str">
        <x:v>static</x:v>
      </x:c>
      <x:c r="G157" s="4" t="str"/>
      <x:c r="H157" s="2" t="str">
        <x:v>Validated</x:v>
      </x:c>
      <x:c r="I157" s="2" t="str">
        <x:v>Pending</x:v>
      </x:c>
      <x:c r="J157" s="2" t="str">
        <x:v>Binding pending</x:v>
      </x:c>
      <x:c r="K157" s="2" t="str">
        <x:v>portal-buildout/environment/Prop_Portal_SilverGate.glb</x:v>
      </x:c>
      <x:c r="L157" s="2" t="str">
        <x:v>df1463860908a11d182acf7d557dc2eba2ebc43ec5a4f1524df6dc9051491240</x:v>
      </x:c>
      <x:c r="M157" s="17" t="n">
        <x:v>0</x:v>
      </x:c>
      <x:c r="N157" s="2" t="str">
        <x:v>n.a.</x:v>
      </x:c>
    </x:row>
    <x:row r="158" ht="38" customHeight="1">
      <x:c r="A158" s="2" t="str">
        <x:v>Prop_Portal_StarGate</x:v>
      </x:c>
      <x:c r="B158" s="2" t="str">
        <x:v>Prop</x:v>
      </x:c>
      <x:c r="C158" s="2" t="str">
        <x:v>Portal Realm</x:v>
      </x:c>
      <x:c r="D158" s="4" t="str">
        <x:v>Star lock presentation</x:v>
      </x:c>
      <x:c r="E158" s="6" t="n">
        <x:v>352</x:v>
      </x:c>
      <x:c r="F158" s="2" t="str">
        <x:v>static</x:v>
      </x:c>
      <x:c r="G158" s="4" t="str"/>
      <x:c r="H158" s="2" t="str">
        <x:v>Validated</x:v>
      </x:c>
      <x:c r="I158" s="2" t="str">
        <x:v>Pending</x:v>
      </x:c>
      <x:c r="J158" s="2" t="str">
        <x:v>Binding pending</x:v>
      </x:c>
      <x:c r="K158" s="2" t="str">
        <x:v>portal-buildout/environment/Prop_Portal_StarGate.glb</x:v>
      </x:c>
      <x:c r="L158" s="2" t="str">
        <x:v>fbb64055f33b84550705388db37a621d8af7913734b5d99b0db86347e034ed65</x:v>
      </x:c>
      <x:c r="M158" s="17" t="n">
        <x:v>0</x:v>
      </x:c>
      <x:c r="N158" s="2" t="str">
        <x:v>n.a.</x:v>
      </x:c>
    </x:row>
    <x:row r="159" ht="38" customHeight="1">
      <x:c r="A159" s="2" t="str">
        <x:v>Prop_Portal_PortalArch</x:v>
      </x:c>
      <x:c r="B159" s="2" t="str">
        <x:v>Prop</x:v>
      </x:c>
      <x:c r="C159" s="2" t="str">
        <x:v>Portal Realm</x:v>
      </x:c>
      <x:c r="D159" s="4" t="str">
        <x:v>Discovered rainbow entry presentation</x:v>
      </x:c>
      <x:c r="E159" s="6" t="n">
        <x:v>150</x:v>
      </x:c>
      <x:c r="F159" s="2" t="str">
        <x:v>static</x:v>
      </x:c>
      <x:c r="G159" s="4" t="str"/>
      <x:c r="H159" s="2" t="str">
        <x:v>Validated</x:v>
      </x:c>
      <x:c r="I159" s="2" t="str">
        <x:v>Pending</x:v>
      </x:c>
      <x:c r="J159" s="2" t="str">
        <x:v>Binding pending</x:v>
      </x:c>
      <x:c r="K159" s="2" t="str">
        <x:v>portal-buildout/environment/Prop_Portal_PortalArch.glb</x:v>
      </x:c>
      <x:c r="L159" s="2" t="str">
        <x:v>8f197fc058300feb339cecfeed2a317665ad56c6bb14d360e0746f1f85b2844a</x:v>
      </x:c>
      <x:c r="M159" s="17" t="n">
        <x:v>0</x:v>
      </x:c>
      <x:c r="N159" s="2" t="str">
        <x:v>n.a.</x:v>
      </x:c>
    </x:row>
    <x:row r="160" ht="38" customHeight="1">
      <x:c r="A160" s="2" t="str">
        <x:v>Prop_Portal_DragonEggNest</x:v>
      </x:c>
      <x:c r="B160" s="2" t="str">
        <x:v>Prop</x:v>
      </x:c>
      <x:c r="C160" s="2" t="str">
        <x:v>Portal Realm</x:v>
      </x:c>
      <x:c r="D160" s="4" t="str">
        <x:v>Land-included egg presentation</x:v>
      </x:c>
      <x:c r="E160" s="6" t="n">
        <x:v>236</x:v>
      </x:c>
      <x:c r="F160" s="2" t="str">
        <x:v>static</x:v>
      </x:c>
      <x:c r="G160" s="4" t="str"/>
      <x:c r="H160" s="2" t="str">
        <x:v>Validated</x:v>
      </x:c>
      <x:c r="I160" s="2" t="str">
        <x:v>Pending</x:v>
      </x:c>
      <x:c r="J160" s="2" t="str">
        <x:v>Binding pending</x:v>
      </x:c>
      <x:c r="K160" s="2" t="str">
        <x:v>portal-buildout/environment/Prop_Portal_DragonEggNest.glb</x:v>
      </x:c>
      <x:c r="L160" s="2" t="str">
        <x:v>7a6c2c8ce88796e7c4c50e83c8540b06a4b426c53542ae8d477001ad161a5299</x:v>
      </x:c>
      <x:c r="M160" s="17" t="n">
        <x:v>0</x:v>
      </x:c>
      <x:c r="N160" s="2" t="str">
        <x:v>n.a.</x:v>
      </x:c>
    </x:row>
    <x:row r="161" ht="38" customHeight="1">
      <x:c r="A161" s="2" t="str">
        <x:v>Prop_Portal_StagePlatform</x:v>
      </x:c>
      <x:c r="B161" s="2" t="str">
        <x:v>Prop</x:v>
      </x:c>
      <x:c r="C161" s="2" t="str">
        <x:v>Portal Realm</x:v>
      </x:c>
      <x:c r="D161" s="4" t="str">
        <x:v>Touring jukebox/concert staging</x:v>
      </x:c>
      <x:c r="E161" s="6" t="n">
        <x:v>176</x:v>
      </x:c>
      <x:c r="F161" s="2" t="str">
        <x:v>static</x:v>
      </x:c>
      <x:c r="G161" s="4" t="str"/>
      <x:c r="H161" s="2" t="str">
        <x:v>Validated</x:v>
      </x:c>
      <x:c r="I161" s="2" t="str">
        <x:v>Pending</x:v>
      </x:c>
      <x:c r="J161" s="2" t="str">
        <x:v>Binding pending</x:v>
      </x:c>
      <x:c r="K161" s="2" t="str">
        <x:v>portal-buildout/environment/Prop_Portal_StagePlatform.glb</x:v>
      </x:c>
      <x:c r="L161" s="2" t="str">
        <x:v>17cda789ff2c57d1341806980c8894c7e1be52e1f9d94e57dd7d6c80511265b2</x:v>
      </x:c>
      <x:c r="M161" s="17" t="n">
        <x:v>0</x:v>
      </x:c>
      <x:c r="N161" s="2" t="str">
        <x:v>n.a.</x:v>
      </x:c>
    </x:row>
    <x:row r="162" ht="38" customHeight="1">
      <x:c r="A162" s="2" t="str">
        <x:v>Item_Portal_DragonEggIntact</x:v>
      </x:c>
      <x:c r="B162" s="2" t="str">
        <x:v>Item</x:v>
      </x:c>
      <x:c r="C162" s="2" t="str">
        <x:v>Portal Realm</x:v>
      </x:c>
      <x:c r="D162" s="4" t="str">
        <x:v>Egg state: intact</x:v>
      </x:c>
      <x:c r="E162" s="6" t="n">
        <x:v>252</x:v>
      </x:c>
      <x:c r="F162" s="2" t="str">
        <x:v>static</x:v>
      </x:c>
      <x:c r="G162" s="4" t="str"/>
      <x:c r="H162" s="2" t="str">
        <x:v>Validated</x:v>
      </x:c>
      <x:c r="I162" s="2" t="str">
        <x:v>Pending</x:v>
      </x:c>
      <x:c r="J162" s="2" t="str">
        <x:v>Binding pending</x:v>
      </x:c>
      <x:c r="K162" s="2" t="str">
        <x:v>portal-buildout/environment/Item_Portal_DragonEggIntact.glb</x:v>
      </x:c>
      <x:c r="L162" s="2" t="str">
        <x:v>14fcd569d56fcef903c136b4a99faa6cda6721b16e56ee2f4da588f51331d59e</x:v>
      </x:c>
      <x:c r="M162" s="17" t="n">
        <x:v>0</x:v>
      </x:c>
      <x:c r="N162" s="2" t="str">
        <x:v>n.a.</x:v>
      </x:c>
    </x:row>
    <x:row r="163" ht="38" customHeight="1">
      <x:c r="A163" s="2" t="str">
        <x:v>Item_Portal_DragonEggCracked</x:v>
      </x:c>
      <x:c r="B163" s="2" t="str">
        <x:v>Item</x:v>
      </x:c>
      <x:c r="C163" s="2" t="str">
        <x:v>Portal Realm</x:v>
      </x:c>
      <x:c r="D163" s="4" t="str">
        <x:v>Egg state: cracked</x:v>
      </x:c>
      <x:c r="E163" s="6" t="n">
        <x:v>300</x:v>
      </x:c>
      <x:c r="F163" s="2" t="str">
        <x:v>static</x:v>
      </x:c>
      <x:c r="G163" s="4" t="str"/>
      <x:c r="H163" s="2" t="str">
        <x:v>Validated</x:v>
      </x:c>
      <x:c r="I163" s="2" t="str">
        <x:v>Pending</x:v>
      </x:c>
      <x:c r="J163" s="2" t="str">
        <x:v>Binding pending</x:v>
      </x:c>
      <x:c r="K163" s="2" t="str">
        <x:v>portal-buildout/environment/Item_Portal_DragonEggCracked.glb</x:v>
      </x:c>
      <x:c r="L163" s="2" t="str">
        <x:v>545c0122a417642d6c492e96b6a67b94108c91663b33e34540ec5bd6cafea69b</x:v>
      </x:c>
      <x:c r="M163" s="17" t="n">
        <x:v>0</x:v>
      </x:c>
      <x:c r="N163" s="2" t="str">
        <x:v>n.a.</x:v>
      </x:c>
    </x:row>
    <x:row r="164" ht="38" customHeight="1">
      <x:c r="A164" s="1" t="str">
        <x:v>Mob_Gallery_Sketcher</x:v>
      </x:c>
      <x:c r="B164" s="1" t="str">
        <x:v>Character</x:v>
      </x:c>
      <x:c r="C164" s="1" t="str">
        <x:v>Gallery City</x:v>
      </x:c>
      <x:c r="D164" s="5" t="str">
        <x:v>Hero brush and palette</x:v>
      </x:c>
      <x:c r="E164" s="7" t="n">
        <x:v>1040</x:v>
      </x:c>
      <x:c r="F164" s="1" t="str">
        <x:v>GalleryHumanoidV1</x:v>
      </x:c>
      <x:c r="G164" s="5" t="str">
        <x:v>Idle, Walk, Attack, Hurt</x:v>
      </x:c>
      <x:c r="H164" s="1" t="str">
        <x:v>Validated</x:v>
      </x:c>
      <x:c r="I164" s="1" t="str">
        <x:v>Pending</x:v>
      </x:c>
      <x:c r="J164" s="1" t="str">
        <x:v>Binding pending</x:v>
      </x:c>
      <x:c r="K164" s="1" t="str">
        <x:v>gallery-buildout/cast/Mob_Gallery_Sketcher.glb</x:v>
      </x:c>
      <x:c r="L164" s="1" t="str">
        <x:v>1792bb1f054ecaf3a277be125184bdfe01b1c6fa7a265ab886691ff480cb065b</x:v>
      </x:c>
      <x:c r="M164" s="16" t="n">
        <x:v>1</x:v>
      </x:c>
      <x:c r="N164" s="1" t="str">
        <x:v>n.a.</x:v>
      </x:c>
      <x:c r="O164" s="1" t="str">
        <x:v>n.a.</x:v>
      </x:c>
      <x:c r="P164" s="1" t="n">
        <x:v>0</x:v>
      </x:c>
    </x:row>
    <x:row r="165" ht="38" customHeight="1">
      <x:c r="A165" s="1" t="str">
        <x:v>Mob_Gallery_CuratorVell</x:v>
      </x:c>
      <x:c r="B165" s="1" t="str">
        <x:v>Character</x:v>
      </x:c>
      <x:c r="C165" s="1" t="str">
        <x:v>Gallery City</x:v>
      </x:c>
      <x:c r="D165" s="5" t="str">
        <x:v>Gallery quest presentation</x:v>
      </x:c>
      <x:c r="E165" s="7" t="n">
        <x:v>1408</x:v>
      </x:c>
      <x:c r="F165" s="1" t="str">
        <x:v>GalleryHumanoidV1</x:v>
      </x:c>
      <x:c r="G165" s="5" t="str">
        <x:v>Idle, Walk, Attack, Hurt</x:v>
      </x:c>
      <x:c r="H165" s="1" t="str">
        <x:v>Validated</x:v>
      </x:c>
      <x:c r="I165" s="1" t="str">
        <x:v>Pending</x:v>
      </x:c>
      <x:c r="J165" s="1" t="str">
        <x:v>Binding pending</x:v>
      </x:c>
      <x:c r="K165" s="1" t="str">
        <x:v>gallery-buildout/cast/Mob_Gallery_CuratorVell.glb</x:v>
      </x:c>
      <x:c r="L165" s="1" t="str">
        <x:v>26655f7f6a3722d583b65d90fb37485a7ff3176621ecdf6f8a5b53f4f5b9666a</x:v>
      </x:c>
      <x:c r="M165" s="16" t="n">
        <x:v>1</x:v>
      </x:c>
      <x:c r="N165" s="1" t="str">
        <x:v>n.a.</x:v>
      </x:c>
      <x:c r="O165" s="1" t="str">
        <x:v>n.a.</x:v>
      </x:c>
      <x:c r="P165" s="1" t="n">
        <x:v>0</x:v>
      </x:c>
    </x:row>
    <x:row r="166" ht="38" customHeight="1">
      <x:c r="A166" s="1" t="str">
        <x:v>Mob_Gallery_FrameHangerTwins</x:v>
      </x:c>
      <x:c r="B166" s="1" t="str">
        <x:v>Character</x:v>
      </x:c>
      <x:c r="C166" s="1" t="str">
        <x:v>Gallery City</x:v>
      </x:c>
      <x:c r="D166" s="5" t="str">
        <x:v>Frame pulley crew role</x:v>
      </x:c>
      <x:c r="E166" s="7" t="n">
        <x:v>1120</x:v>
      </x:c>
      <x:c r="F166" s="1" t="str">
        <x:v>GalleryHumanoidV1</x:v>
      </x:c>
      <x:c r="G166" s="5" t="str">
        <x:v>Idle, Walk, Attack, Hurt</x:v>
      </x:c>
      <x:c r="H166" s="1" t="str">
        <x:v>Validated</x:v>
      </x:c>
      <x:c r="I166" s="1" t="str">
        <x:v>Pending</x:v>
      </x:c>
      <x:c r="J166" s="1" t="str">
        <x:v>Binding pending</x:v>
      </x:c>
      <x:c r="K166" s="1" t="str">
        <x:v>gallery-buildout/cast/Mob_Gallery_FrameHangerTwins.glb</x:v>
      </x:c>
      <x:c r="L166" s="1" t="str">
        <x:v>9c4baea7ba6e8ca2a327da95a4181f9b4d42ce28a77787859e93fab8ade539ac</x:v>
      </x:c>
      <x:c r="M166" s="16" t="n">
        <x:v>1</x:v>
      </x:c>
      <x:c r="N166" s="1" t="str">
        <x:v>n.a.</x:v>
      </x:c>
      <x:c r="O166" s="1" t="str">
        <x:v>n.a.</x:v>
      </x:c>
      <x:c r="P166" s="1" t="n">
        <x:v>0</x:v>
      </x:c>
    </x:row>
    <x:row r="167" ht="38" customHeight="1">
      <x:c r="A167" s="1" t="str">
        <x:v>Mob_Gallery_VarnishMonk</x:v>
      </x:c>
      <x:c r="B167" s="1" t="str">
        <x:v>Character</x:v>
      </x:c>
      <x:c r="C167" s="1" t="str">
        <x:v>Gallery City</x:v>
      </x:c>
      <x:c r="D167" s="5" t="str">
        <x:v>Painting protection supplies proposal</x:v>
      </x:c>
      <x:c r="E167" s="7" t="n">
        <x:v>920</x:v>
      </x:c>
      <x:c r="F167" s="1" t="str">
        <x:v>GalleryHumanoidV1</x:v>
      </x:c>
      <x:c r="G167" s="5" t="str">
        <x:v>Idle, Walk, Attack, Hurt</x:v>
      </x:c>
      <x:c r="H167" s="1" t="str">
        <x:v>Validated</x:v>
      </x:c>
      <x:c r="I167" s="1" t="str">
        <x:v>Pending</x:v>
      </x:c>
      <x:c r="J167" s="1" t="str">
        <x:v>Binding pending</x:v>
      </x:c>
      <x:c r="K167" s="1" t="str">
        <x:v>gallery-buildout/cast/Mob_Gallery_VarnishMonk.glb</x:v>
      </x:c>
      <x:c r="L167" s="1" t="str">
        <x:v>8ca2428428c93e844720df47a5db03ce91ac7a238e9a68d2b03cc757a75d5048</x:v>
      </x:c>
      <x:c r="M167" s="16" t="n">
        <x:v>1</x:v>
      </x:c>
      <x:c r="N167" s="1" t="str">
        <x:v>n.a.</x:v>
      </x:c>
      <x:c r="O167" s="1" t="str">
        <x:v>n.a.</x:v>
      </x:c>
      <x:c r="P167" s="1" t="n">
        <x:v>0</x:v>
      </x:c>
    </x:row>
    <x:row r="168" ht="38" customHeight="1">
      <x:c r="A168" s="1" t="str">
        <x:v>Mob_Gallery_RestorerAma</x:v>
      </x:c>
      <x:c r="B168" s="1" t="str">
        <x:v>Character</x:v>
      </x:c>
      <x:c r="C168" s="1" t="str">
        <x:v>Gallery City</x:v>
      </x:c>
      <x:c r="D168" s="5" t="str">
        <x:v>Mural restoration guidance</x:v>
      </x:c>
      <x:c r="E168" s="7" t="n">
        <x:v>928</x:v>
      </x:c>
      <x:c r="F168" s="1" t="str">
        <x:v>GalleryHumanoidV1</x:v>
      </x:c>
      <x:c r="G168" s="5" t="str">
        <x:v>Idle, Walk, Attack, Hurt</x:v>
      </x:c>
      <x:c r="H168" s="1" t="str">
        <x:v>Validated</x:v>
      </x:c>
      <x:c r="I168" s="1" t="str">
        <x:v>Pending</x:v>
      </x:c>
      <x:c r="J168" s="1" t="str">
        <x:v>Binding pending</x:v>
      </x:c>
      <x:c r="K168" s="1" t="str">
        <x:v>gallery-buildout/cast/Mob_Gallery_RestorerAma.glb</x:v>
      </x:c>
      <x:c r="L168" s="1" t="str">
        <x:v>887f80d5e0e4a8f2ac2d36e04f4ac840a2f9ce2ad190ee980d2fe21a9a44be65</x:v>
      </x:c>
      <x:c r="M168" s="16" t="n">
        <x:v>1</x:v>
      </x:c>
      <x:c r="N168" s="1" t="str">
        <x:v>n.a.</x:v>
      </x:c>
      <x:c r="O168" s="1" t="str">
        <x:v>n.a.</x:v>
      </x:c>
      <x:c r="P168" s="1" t="n">
        <x:v>0</x:v>
      </x:c>
    </x:row>
    <x:row r="169" ht="38" customHeight="1">
      <x:c r="A169" s="1" t="str">
        <x:v>Mob_Gallery_PigmentMiner</x:v>
      </x:c>
      <x:c r="B169" s="1" t="str">
        <x:v>Character</x:v>
      </x:c>
      <x:c r="C169" s="1" t="str">
        <x:v>Gallery City</x:v>
      </x:c>
      <x:c r="D169" s="5" t="str">
        <x:v>Pigment crafting guidance</x:v>
      </x:c>
      <x:c r="E169" s="7" t="n">
        <x:v>928</x:v>
      </x:c>
      <x:c r="F169" s="1" t="str">
        <x:v>GalleryHumanoidV1</x:v>
      </x:c>
      <x:c r="G169" s="5" t="str">
        <x:v>Idle, Walk, Attack, Hurt</x:v>
      </x:c>
      <x:c r="H169" s="1" t="str">
        <x:v>Validated</x:v>
      </x:c>
      <x:c r="I169" s="1" t="str">
        <x:v>Pending</x:v>
      </x:c>
      <x:c r="J169" s="1" t="str">
        <x:v>Binding pending</x:v>
      </x:c>
      <x:c r="K169" s="1" t="str">
        <x:v>gallery-buildout/cast/Mob_Gallery_PigmentMiner.glb</x:v>
      </x:c>
      <x:c r="L169" s="1" t="str">
        <x:v>86707e4fcfa9b49a19de3693f7c69dff01670bf234503bf19ae7f2ae51404837</x:v>
      </x:c>
      <x:c r="M169" s="16" t="n">
        <x:v>1</x:v>
      </x:c>
      <x:c r="N169" s="1" t="str">
        <x:v>n.a.</x:v>
      </x:c>
      <x:c r="O169" s="1" t="str">
        <x:v>n.a.</x:v>
      </x:c>
      <x:c r="P169" s="1" t="n">
        <x:v>0</x:v>
      </x:c>
    </x:row>
    <x:row r="170" ht="38" customHeight="1">
      <x:c r="A170" s="1" t="str">
        <x:v>Mob_Gallery_GalleryGuard</x:v>
      </x:c>
      <x:c r="B170" s="1" t="str">
        <x:v>Character</x:v>
      </x:c>
      <x:c r="C170" s="1" t="str">
        <x:v>Gallery City</x:v>
      </x:c>
      <x:c r="D170" s="5" t="str">
        <x:v>Gallery access guidance</x:v>
      </x:c>
      <x:c r="E170" s="7" t="n">
        <x:v>972</x:v>
      </x:c>
      <x:c r="F170" s="1" t="str">
        <x:v>GalleryHumanoidV1</x:v>
      </x:c>
      <x:c r="G170" s="5" t="str">
        <x:v>Idle, Walk, Attack, Hurt</x:v>
      </x:c>
      <x:c r="H170" s="1" t="str">
        <x:v>Validated</x:v>
      </x:c>
      <x:c r="I170" s="1" t="str">
        <x:v>Pending</x:v>
      </x:c>
      <x:c r="J170" s="1" t="str">
        <x:v>Binding pending</x:v>
      </x:c>
      <x:c r="K170" s="1" t="str">
        <x:v>gallery-buildout/cast/Mob_Gallery_GalleryGuard.glb</x:v>
      </x:c>
      <x:c r="L170" s="1" t="str">
        <x:v>0f28168765ec816655adec39dc767c2e32be18477bc3b71857743c406cfb5c26</x:v>
      </x:c>
      <x:c r="M170" s="16" t="n">
        <x:v>1</x:v>
      </x:c>
      <x:c r="N170" s="1" t="str">
        <x:v>n.a.</x:v>
      </x:c>
      <x:c r="O170" s="1" t="str">
        <x:v>n.a.</x:v>
      </x:c>
      <x:c r="P170" s="1" t="n">
        <x:v>0</x:v>
      </x:c>
    </x:row>
    <x:row r="171" ht="38" customHeight="1">
      <x:c r="A171" s="1" t="str">
        <x:v>Mob_Gallery_StreetMuralist</x:v>
      </x:c>
      <x:c r="B171" s="1" t="str">
        <x:v>Character</x:v>
      </x:c>
      <x:c r="C171" s="1" t="str">
        <x:v>Gallery City</x:v>
      </x:c>
      <x:c r="D171" s="5" t="str">
        <x:v>Painted travel hints proposal</x:v>
      </x:c>
      <x:c r="E171" s="7" t="n">
        <x:v>1040</x:v>
      </x:c>
      <x:c r="F171" s="1" t="str">
        <x:v>GalleryHumanoidV1</x:v>
      </x:c>
      <x:c r="G171" s="5" t="str">
        <x:v>Idle, Walk, Attack, Hurt</x:v>
      </x:c>
      <x:c r="H171" s="1" t="str">
        <x:v>Validated</x:v>
      </x:c>
      <x:c r="I171" s="1" t="str">
        <x:v>Pending</x:v>
      </x:c>
      <x:c r="J171" s="1" t="str">
        <x:v>Binding pending</x:v>
      </x:c>
      <x:c r="K171" s="1" t="str">
        <x:v>gallery-buildout/cast/Mob_Gallery_StreetMuralist.glb</x:v>
      </x:c>
      <x:c r="L171" s="1" t="str">
        <x:v>7786ec54dec04a5af1128e03f4c9126a09c32ad9bdcf12a15819694e7021b019</x:v>
      </x:c>
      <x:c r="M171" s="16" t="n">
        <x:v>1</x:v>
      </x:c>
      <x:c r="N171" s="1" t="str">
        <x:v>n.a.</x:v>
      </x:c>
      <x:c r="O171" s="1" t="str">
        <x:v>n.a.</x:v>
      </x:c>
      <x:c r="P171" s="1" t="n">
        <x:v>0</x:v>
      </x:c>
    </x:row>
    <x:row r="172" ht="38" customHeight="1">
      <x:c r="A172" s="1" t="str">
        <x:v>Mob_Gallery_LightTailor</x:v>
      </x:c>
      <x:c r="B172" s="1" t="str">
        <x:v>Character</x:v>
      </x:c>
      <x:c r="C172" s="1" t="str">
        <x:v>Gallery City</x:v>
      </x:c>
      <x:c r="D172" s="5" t="str">
        <x:v>Realm cosmetic presentation</x:v>
      </x:c>
      <x:c r="E172" s="7" t="n">
        <x:v>1120</x:v>
      </x:c>
      <x:c r="F172" s="1" t="str">
        <x:v>GalleryHumanoidV1</x:v>
      </x:c>
      <x:c r="G172" s="5" t="str">
        <x:v>Idle, Walk, Attack, Hurt</x:v>
      </x:c>
      <x:c r="H172" s="1" t="str">
        <x:v>Validated</x:v>
      </x:c>
      <x:c r="I172" s="1" t="str">
        <x:v>Pending</x:v>
      </x:c>
      <x:c r="J172" s="1" t="str">
        <x:v>Binding pending</x:v>
      </x:c>
      <x:c r="K172" s="1" t="str">
        <x:v>gallery-buildout/cast/Mob_Gallery_LightTailor.glb</x:v>
      </x:c>
      <x:c r="L172" s="1" t="str">
        <x:v>e1c319bf62eba64e0991e3f1c7439db85ec1ed98e2af1798bab38a25a659bdaa</x:v>
      </x:c>
      <x:c r="M172" s="16" t="n">
        <x:v>1</x:v>
      </x:c>
      <x:c r="N172" s="1" t="str">
        <x:v>n.a.</x:v>
      </x:c>
      <x:c r="O172" s="1" t="str">
        <x:v>n.a.</x:v>
      </x:c>
      <x:c r="P172" s="1" t="n">
        <x:v>0</x:v>
      </x:c>
    </x:row>
    <x:row r="173" ht="38" customHeight="1">
      <x:c r="A173" s="1" t="str">
        <x:v>Mob_Gallery_DroneMechanicPell</x:v>
      </x:c>
      <x:c r="B173" s="1" t="str">
        <x:v>Character</x:v>
      </x:c>
      <x:c r="C173" s="1" t="str">
        <x:v>Gallery City</x:v>
      </x:c>
      <x:c r="D173" s="5" t="str">
        <x:v>Drone upgrade presentation</x:v>
      </x:c>
      <x:c r="E173" s="7" t="n">
        <x:v>1216</x:v>
      </x:c>
      <x:c r="F173" s="1" t="str">
        <x:v>GalleryHumanoidV1</x:v>
      </x:c>
      <x:c r="G173" s="5" t="str">
        <x:v>Idle, Walk, Attack, Hurt</x:v>
      </x:c>
      <x:c r="H173" s="1" t="str">
        <x:v>Validated</x:v>
      </x:c>
      <x:c r="I173" s="1" t="str">
        <x:v>Pending</x:v>
      </x:c>
      <x:c r="J173" s="1" t="str">
        <x:v>Binding pending</x:v>
      </x:c>
      <x:c r="K173" s="1" t="str">
        <x:v>gallery-buildout/cast/Mob_Gallery_DroneMechanicPell.glb</x:v>
      </x:c>
      <x:c r="L173" s="1" t="str">
        <x:v>fb6316ec0fc8d5b62ae5cb1f0247df22116c704e0467951ccfceb001ee0fa029</x:v>
      </x:c>
      <x:c r="M173" s="16" t="n">
        <x:v>1</x:v>
      </x:c>
      <x:c r="N173" s="1" t="str">
        <x:v>n.a.</x:v>
      </x:c>
      <x:c r="O173" s="1" t="str">
        <x:v>n.a.</x:v>
      </x:c>
      <x:c r="P173" s="1" t="n">
        <x:v>0</x:v>
      </x:c>
    </x:row>
    <x:row r="174" ht="38" customHeight="1">
      <x:c r="A174" s="1" t="str">
        <x:v>Mob_Gallery_CriticBloom</x:v>
      </x:c>
      <x:c r="B174" s="1" t="str">
        <x:v>Character</x:v>
      </x:c>
      <x:c r="C174" s="1" t="str">
        <x:v>Gallery City</x:v>
      </x:c>
      <x:c r="D174" s="5" t="str">
        <x:v>Build review quest proposal</x:v>
      </x:c>
      <x:c r="E174" s="7" t="n">
        <x:v>936</x:v>
      </x:c>
      <x:c r="F174" s="1" t="str">
        <x:v>GalleryHumanoidV1</x:v>
      </x:c>
      <x:c r="G174" s="5" t="str">
        <x:v>Idle, Walk, Attack, Hurt</x:v>
      </x:c>
      <x:c r="H174" s="1" t="str">
        <x:v>Validated</x:v>
      </x:c>
      <x:c r="I174" s="1" t="str">
        <x:v>Pending</x:v>
      </x:c>
      <x:c r="J174" s="1" t="str">
        <x:v>Binding pending</x:v>
      </x:c>
      <x:c r="K174" s="1" t="str">
        <x:v>gallery-buildout/cast/Mob_Gallery_CriticBloom.glb</x:v>
      </x:c>
      <x:c r="L174" s="1" t="str">
        <x:v>95b8056c8639e451e66b06914b509fcc5e05851f61d31a2000e5a3549246c2d8</x:v>
      </x:c>
      <x:c r="M174" s="16" t="n">
        <x:v>1</x:v>
      </x:c>
      <x:c r="N174" s="1" t="str">
        <x:v>n.a.</x:v>
      </x:c>
      <x:c r="O174" s="1" t="str">
        <x:v>n.a.</x:v>
      </x:c>
      <x:c r="P174" s="1" t="n">
        <x:v>0</x:v>
      </x:c>
    </x:row>
    <x:row r="175" ht="38" customHeight="1">
      <x:c r="A175" s="1" t="str">
        <x:v>Mob_Gallery_LostSelfPortrait</x:v>
      </x:c>
      <x:c r="B175" s="1" t="str">
        <x:v>Character</x:v>
      </x:c>
      <x:c r="C175" s="1" t="str">
        <x:v>Gallery City</x:v>
      </x:c>
      <x:c r="D175" s="5" t="str">
        <x:v>Missing frame quest proposal</x:v>
      </x:c>
      <x:c r="E175" s="7" t="n">
        <x:v>1068</x:v>
      </x:c>
      <x:c r="F175" s="1" t="str">
        <x:v>GalleryHumanoidV1</x:v>
      </x:c>
      <x:c r="G175" s="5" t="str">
        <x:v>Idle, Walk, Attack, Hurt</x:v>
      </x:c>
      <x:c r="H175" s="1" t="str">
        <x:v>Validated</x:v>
      </x:c>
      <x:c r="I175" s="1" t="str">
        <x:v>Pending</x:v>
      </x:c>
      <x:c r="J175" s="1" t="str">
        <x:v>Binding pending</x:v>
      </x:c>
      <x:c r="K175" s="1" t="str">
        <x:v>gallery-buildout/cast/Mob_Gallery_LostSelfPortrait.glb</x:v>
      </x:c>
      <x:c r="L175" s="1" t="str">
        <x:v>183555ebd7a6c71f12365b020ebb37f5d34c794d915319d17ce4780a137d1b28</x:v>
      </x:c>
      <x:c r="M175" s="16" t="n">
        <x:v>1</x:v>
      </x:c>
      <x:c r="N175" s="1" t="str">
        <x:v>n.a.</x:v>
      </x:c>
      <x:c r="O175" s="1" t="str">
        <x:v>n.a.</x:v>
      </x:c>
      <x:c r="P175" s="1" t="n">
        <x:v>0</x:v>
      </x:c>
    </x:row>
    <x:row r="176" ht="38" customHeight="1">
      <x:c r="A176" s="1" t="str">
        <x:v>Mob_Gallery_EchoChoir</x:v>
      </x:c>
      <x:c r="B176" s="1" t="str">
        <x:v>Character</x:v>
      </x:c>
      <x:c r="C176" s="1" t="str">
        <x:v>Gallery City</x:v>
      </x:c>
      <x:c r="D176" s="5" t="str">
        <x:v>Touring jukebox district cue proposal</x:v>
      </x:c>
      <x:c r="E176" s="7" t="n">
        <x:v>1000</x:v>
      </x:c>
      <x:c r="F176" s="1" t="str">
        <x:v>GalleryHumanoidV1</x:v>
      </x:c>
      <x:c r="G176" s="5" t="str">
        <x:v>Idle, Walk, Attack, Hurt</x:v>
      </x:c>
      <x:c r="H176" s="1" t="str">
        <x:v>Validated</x:v>
      </x:c>
      <x:c r="I176" s="1" t="str">
        <x:v>Pending</x:v>
      </x:c>
      <x:c r="J176" s="1" t="str">
        <x:v>Binding pending</x:v>
      </x:c>
      <x:c r="K176" s="1" t="str">
        <x:v>gallery-buildout/cast/Mob_Gallery_EchoChoir.glb</x:v>
      </x:c>
      <x:c r="L176" s="1" t="str">
        <x:v>0af6afef337936078e5776445ac3650b922912e62857ce3b3399d75b6196e9aa</x:v>
      </x:c>
      <x:c r="M176" s="16" t="n">
        <x:v>1</x:v>
      </x:c>
      <x:c r="N176" s="1" t="str">
        <x:v>n.a.</x:v>
      </x:c>
      <x:c r="O176" s="1" t="str">
        <x:v>n.a.</x:v>
      </x:c>
      <x:c r="P176" s="1" t="n">
        <x:v>0</x:v>
      </x:c>
    </x:row>
    <x:row r="177" ht="38" customHeight="1">
      <x:c r="A177" s="1" t="str">
        <x:v>Mob_Portal_Knight_Polish</x:v>
      </x:c>
      <x:c r="B177" s="1" t="str">
        <x:v>Character</x:v>
      </x:c>
      <x:c r="C177" s="1" t="str">
        <x:v>Portal Realm</x:v>
      </x:c>
      <x:c r="D177" s="5" t="str">
        <x:v>Hero polish review; existing knight rules</x:v>
      </x:c>
      <x:c r="E177" s="7" t="n">
        <x:v>14252</x:v>
      </x:c>
      <x:c r="F177" s="1" t="str">
        <x:v>PortalHumanoidV1</x:v>
      </x:c>
      <x:c r="G177" s="5" t="str">
        <x:v>Idle, Walk, Attack, Hurt</x:v>
      </x:c>
      <x:c r="H177" s="1" t="str">
        <x:v>Validated</x:v>
      </x:c>
      <x:c r="I177" s="1" t="str">
        <x:v>Pending</x:v>
      </x:c>
      <x:c r="J177" s="1" t="str">
        <x:v>Binding pending</x:v>
      </x:c>
      <x:c r="K177" s="1" t="str">
        <x:v>portal-hero-polish/Mob_Portal_Knight_Polish.glb</x:v>
      </x:c>
      <x:c r="L177" s="1" t="str">
        <x:v>bfa2f8479888a683d46e3d62ff145cb37072fe02c90241e3a9052050c2709c29</x:v>
      </x:c>
      <x:c r="M177" s="16" t="n">
        <x:v>0</x:v>
      </x:c>
      <x:c r="N177" s="1" t="str">
        <x:v>n.a.</x:v>
      </x:c>
      <x:c r="O177" s="1" t="str">
        <x:v>n.a.</x:v>
      </x:c>
      <x:c r="P177" s="1" t="n">
        <x:v>0</x:v>
      </x:c>
    </x:row>
    <x:row r="178" ht="38" customHeight="1">
      <x:c r="A178" s="1" t="str">
        <x:v>Mob_Portal_Knight_Polish_LOD1</x:v>
      </x:c>
      <x:c r="B178" s="1" t="str">
        <x:v>Character</x:v>
      </x:c>
      <x:c r="C178" s="1" t="str">
        <x:v>Portal Realm</x:v>
      </x:c>
      <x:c r="D178" s="5" t="str">
        <x:v>Hero visual LOD; same existing role</x:v>
      </x:c>
      <x:c r="E178" s="7" t="n">
        <x:v>4988</x:v>
      </x:c>
      <x:c r="F178" s="1" t="str">
        <x:v>PortalHumanoidV1</x:v>
      </x:c>
      <x:c r="G178" s="5" t="str">
        <x:v>Idle, Walk, Attack, Hurt</x:v>
      </x:c>
      <x:c r="H178" s="1" t="str">
        <x:v>Validated</x:v>
      </x:c>
      <x:c r="I178" s="1" t="str">
        <x:v>Pending</x:v>
      </x:c>
      <x:c r="J178" s="1" t="str">
        <x:v>Binding pending</x:v>
      </x:c>
      <x:c r="K178" s="1" t="str">
        <x:v>portal-hero-lods/Mob_Portal_Knight_Polish_LOD1.glb</x:v>
      </x:c>
      <x:c r="L178" s="1" t="str">
        <x:v>75632474a90a5775d8430b42db62f3139863d8fd36e4ad0422c6e1e9e87266ad</x:v>
      </x:c>
      <x:c r="M178" s="16" t="n">
        <x:v>0</x:v>
      </x:c>
      <x:c r="N178" s="1" t="str">
        <x:v>n.a.</x:v>
      </x:c>
      <x:c r="O178" s="1" t="str">
        <x:v>n.a.</x:v>
      </x:c>
      <x:c r="P178" s="1" t="n">
        <x:v>1</x:v>
      </x:c>
    </x:row>
    <x:row r="179" ht="38" customHeight="1">
      <x:c r="A179" s="1" t="str">
        <x:v>Mob_Portal_Knight_Polish_LOD2</x:v>
      </x:c>
      <x:c r="B179" s="1" t="str">
        <x:v>Character</x:v>
      </x:c>
      <x:c r="C179" s="1" t="str">
        <x:v>Portal Realm</x:v>
      </x:c>
      <x:c r="D179" s="5" t="str">
        <x:v>Hero visual LOD; same existing role</x:v>
      </x:c>
      <x:c r="E179" s="7" t="n">
        <x:v>1706</x:v>
      </x:c>
      <x:c r="F179" s="1" t="str">
        <x:v>PortalHumanoidV1</x:v>
      </x:c>
      <x:c r="G179" s="5" t="str">
        <x:v>Idle, Walk, Attack, Hurt</x:v>
      </x:c>
      <x:c r="H179" s="1" t="str">
        <x:v>Validated</x:v>
      </x:c>
      <x:c r="I179" s="1" t="str">
        <x:v>Pending</x:v>
      </x:c>
      <x:c r="J179" s="1" t="str">
        <x:v>Binding pending</x:v>
      </x:c>
      <x:c r="K179" s="1" t="str">
        <x:v>portal-hero-lods/Mob_Portal_Knight_Polish_LOD2.glb</x:v>
      </x:c>
      <x:c r="L179" s="1" t="str">
        <x:v>51bb21340145ae8a877250d4a0fcdf284b209e394e46da984aa06dc8adfa692b</x:v>
      </x:c>
      <x:c r="M179" s="16" t="n">
        <x:v>0</x:v>
      </x:c>
      <x:c r="N179" s="1" t="str">
        <x:v>n.a.</x:v>
      </x:c>
      <x:c r="O179" s="1" t="str">
        <x:v>n.a.</x:v>
      </x:c>
      <x:c r="P179" s="1" t="n">
        <x:v>2</x:v>
      </x:c>
    </x:row>
    <x:row r="180" ht="38" customHeight="1">
      <x:c r="A180" s="1" t="str">
        <x:v>Mob_Portal_BLIGHT_SLIME_Polish_01</x:v>
      </x:c>
      <x:c r="B180" s="1" t="str">
        <x:v>Character</x:v>
      </x:c>
      <x:c r="C180" s="1" t="str">
        <x:v>Portal Realm</x:v>
      </x:c>
      <x:c r="D180" s="5" t="str">
        <x:v>Existing Blight Slime encounter visual</x:v>
      </x:c>
      <x:c r="E180" s="7" t="n">
        <x:v>5908</x:v>
      </x:c>
      <x:c r="F180" s="1" t="str">
        <x:v>PortalCreatureV1</x:v>
      </x:c>
      <x:c r="G180" s="5" t="str">
        <x:v>Idle, Walk, Attack, Hurt</x:v>
      </x:c>
      <x:c r="H180" s="1" t="str">
        <x:v>Validated</x:v>
      </x:c>
      <x:c r="I180" s="1" t="str">
        <x:v>Pending</x:v>
      </x:c>
      <x:c r="J180" s="1" t="str">
        <x:v>Binding pending</x:v>
      </x:c>
      <x:c r="K180" s="1" t="str">
        <x:v>portal-slime-polish/Mob_Portal_BLIGHT_SLIME_Polish_01.glb</x:v>
      </x:c>
      <x:c r="L180" s="1" t="str">
        <x:v>5976d65cc6ad0bffe08a5cdb64a41adfa0e0cd3232ce72216b2c99705381c972</x:v>
      </x:c>
      <x:c r="M180" s="16" t="n">
        <x:v>0</x:v>
      </x:c>
      <x:c r="N180" s="1" t="str">
        <x:v>BLIGHT_SLIME</x:v>
      </x:c>
      <x:c r="O180" s="1" t="str">
        <x:v>Portal_enemy_BLIGHT_SLIME_01</x:v>
      </x:c>
      <x:c r="P180" s="1" t="n">
        <x:v>0</x:v>
      </x:c>
    </x:row>
    <x:row r="181" ht="38" customHeight="1">
      <x:c r="A181" s="1" t="str">
        <x:v>Mob_Portal_BLIGHT_SLIME_Polish_02</x:v>
      </x:c>
      <x:c r="B181" s="1" t="str">
        <x:v>Character</x:v>
      </x:c>
      <x:c r="C181" s="1" t="str">
        <x:v>Portal Realm</x:v>
      </x:c>
      <x:c r="D181" s="5" t="str">
        <x:v>Existing Blight Slime encounter visual</x:v>
      </x:c>
      <x:c r="E181" s="7" t="n">
        <x:v>5928</x:v>
      </x:c>
      <x:c r="F181" s="1" t="str">
        <x:v>PortalCreatureV1</x:v>
      </x:c>
      <x:c r="G181" s="5" t="str">
        <x:v>Idle, Walk, Attack, Hurt</x:v>
      </x:c>
      <x:c r="H181" s="1" t="str">
        <x:v>Validated</x:v>
      </x:c>
      <x:c r="I181" s="1" t="str">
        <x:v>Pending</x:v>
      </x:c>
      <x:c r="J181" s="1" t="str">
        <x:v>Binding pending</x:v>
      </x:c>
      <x:c r="K181" s="1" t="str">
        <x:v>portal-slime-polish/Mob_Portal_BLIGHT_SLIME_Polish_02.glb</x:v>
      </x:c>
      <x:c r="L181" s="1" t="str">
        <x:v>78b7e9b3950acaded07cc7a2225286b2e14e710471f3fda7764d7fb73c054fe2</x:v>
      </x:c>
      <x:c r="M181" s="16" t="n">
        <x:v>0</x:v>
      </x:c>
      <x:c r="N181" s="1" t="str">
        <x:v>BLIGHT_SLIME</x:v>
      </x:c>
      <x:c r="O181" s="1" t="str">
        <x:v>Portal_enemy_BLIGHT_SLIME_02</x:v>
      </x:c>
      <x:c r="P181" s="1" t="n">
        <x:v>0</x:v>
      </x:c>
    </x:row>
    <x:row r="182" ht="38" customHeight="1">
      <x:c r="A182" s="1" t="str">
        <x:v>Mob_Portal_BLIGHT_SLIME_Polish_03</x:v>
      </x:c>
      <x:c r="B182" s="1" t="str">
        <x:v>Character</x:v>
      </x:c>
      <x:c r="C182" s="1" t="str">
        <x:v>Portal Realm</x:v>
      </x:c>
      <x:c r="D182" s="5" t="str">
        <x:v>Existing Blight Slime encounter visual</x:v>
      </x:c>
      <x:c r="E182" s="7" t="n">
        <x:v>5948</x:v>
      </x:c>
      <x:c r="F182" s="1" t="str">
        <x:v>PortalCreatureV1</x:v>
      </x:c>
      <x:c r="G182" s="5" t="str">
        <x:v>Idle, Walk, Attack, Hurt</x:v>
      </x:c>
      <x:c r="H182" s="1" t="str">
        <x:v>Validated</x:v>
      </x:c>
      <x:c r="I182" s="1" t="str">
        <x:v>Pending</x:v>
      </x:c>
      <x:c r="J182" s="1" t="str">
        <x:v>Binding pending</x:v>
      </x:c>
      <x:c r="K182" s="1" t="str">
        <x:v>portal-slime-polish/Mob_Portal_BLIGHT_SLIME_Polish_03.glb</x:v>
      </x:c>
      <x:c r="L182" s="1" t="str">
        <x:v>8a15302a21e37852f071095ff31100f518cec5a718b3d0da786748a538fe9801</x:v>
      </x:c>
      <x:c r="M182" s="16" t="n">
        <x:v>0</x:v>
      </x:c>
      <x:c r="N182" s="1" t="str">
        <x:v>BLIGHT_SLIME</x:v>
      </x:c>
      <x:c r="O182" s="1" t="str">
        <x:v>Portal_enemy_BLIGHT_SLIME_03</x:v>
      </x:c>
      <x:c r="P182" s="1" t="n">
        <x:v>0</x:v>
      </x:c>
    </x:row>
    <x:row r="183" ht="38" customHeight="1">
      <x:c r="A183" s="1" t="str">
        <x:v>Mob_Portal_BLIGHT_SLIME_Polish_04</x:v>
      </x:c>
      <x:c r="B183" s="1" t="str">
        <x:v>Character</x:v>
      </x:c>
      <x:c r="C183" s="1" t="str">
        <x:v>Portal Realm</x:v>
      </x:c>
      <x:c r="D183" s="5" t="str">
        <x:v>Existing Blight Slime encounter visual</x:v>
      </x:c>
      <x:c r="E183" s="7" t="n">
        <x:v>5968</x:v>
      </x:c>
      <x:c r="F183" s="1" t="str">
        <x:v>PortalCreatureV1</x:v>
      </x:c>
      <x:c r="G183" s="5" t="str">
        <x:v>Idle, Walk, Attack, Hurt</x:v>
      </x:c>
      <x:c r="H183" s="1" t="str">
        <x:v>Validated</x:v>
      </x:c>
      <x:c r="I183" s="1" t="str">
        <x:v>Pending</x:v>
      </x:c>
      <x:c r="J183" s="1" t="str">
        <x:v>Binding pending</x:v>
      </x:c>
      <x:c r="K183" s="1" t="str">
        <x:v>portal-slime-polish/Mob_Portal_BLIGHT_SLIME_Polish_04.glb</x:v>
      </x:c>
      <x:c r="L183" s="1" t="str">
        <x:v>dd3bd1f681454a5e05570345391290bc698ce06d063ab2c1556d3eeabcf807c0</x:v>
      </x:c>
      <x:c r="M183" s="16" t="n">
        <x:v>0</x:v>
      </x:c>
      <x:c r="N183" s="1" t="str">
        <x:v>BLIGHT_SLIME</x:v>
      </x:c>
      <x:c r="O183" s="1" t="str">
        <x:v>Portal_enemy_BLIGHT_SLIME_04</x:v>
      </x:c>
      <x:c r="P183" s="1" t="n">
        <x:v>0</x:v>
      </x:c>
    </x:row>
    <x:row r="184" ht="38" customHeight="1">
      <x:c r="A184" s="1" t="str">
        <x:v>Mob_Portal_BLIGHT_SLIME_Polish_05</x:v>
      </x:c>
      <x:c r="B184" s="1" t="str">
        <x:v>Character</x:v>
      </x:c>
      <x:c r="C184" s="1" t="str">
        <x:v>Portal Realm</x:v>
      </x:c>
      <x:c r="D184" s="5" t="str">
        <x:v>Existing Blight Slime encounter visual</x:v>
      </x:c>
      <x:c r="E184" s="7" t="n">
        <x:v>5988</x:v>
      </x:c>
      <x:c r="F184" s="1" t="str">
        <x:v>PortalCreatureV1</x:v>
      </x:c>
      <x:c r="G184" s="5" t="str">
        <x:v>Idle, Walk, Attack, Hurt</x:v>
      </x:c>
      <x:c r="H184" s="1" t="str">
        <x:v>Validated</x:v>
      </x:c>
      <x:c r="I184" s="1" t="str">
        <x:v>Pending</x:v>
      </x:c>
      <x:c r="J184" s="1" t="str">
        <x:v>Binding pending</x:v>
      </x:c>
      <x:c r="K184" s="1" t="str">
        <x:v>portal-slime-polish/Mob_Portal_BLIGHT_SLIME_Polish_05.glb</x:v>
      </x:c>
      <x:c r="L184" s="1" t="str">
        <x:v>5824ddc6eb3d9088107be33b76221e18d7021e38872bf7223bf80cd4ee4e83b1</x:v>
      </x:c>
      <x:c r="M184" s="16" t="n">
        <x:v>0</x:v>
      </x:c>
      <x:c r="N184" s="1" t="str">
        <x:v>BLIGHT_SLIME</x:v>
      </x:c>
      <x:c r="O184" s="1" t="str">
        <x:v>Portal_enemy_BLIGHT_SLIME_05</x:v>
      </x:c>
      <x:c r="P184" s="1" t="n">
        <x:v>0</x:v>
      </x:c>
    </x:row>
    <x:row r="185" ht="38" customHeight="1">
      <x:c r="A185" s="1" t="str">
        <x:v>Mob_Portal_BLIGHT_SLIME_Polish_06</x:v>
      </x:c>
      <x:c r="B185" s="1" t="str">
        <x:v>Character</x:v>
      </x:c>
      <x:c r="C185" s="1" t="str">
        <x:v>Portal Realm</x:v>
      </x:c>
      <x:c r="D185" s="5" t="str">
        <x:v>Existing Blight Slime encounter visual</x:v>
      </x:c>
      <x:c r="E185" s="7" t="n">
        <x:v>5908</x:v>
      </x:c>
      <x:c r="F185" s="1" t="str">
        <x:v>PortalCreatureV1</x:v>
      </x:c>
      <x:c r="G185" s="5" t="str">
        <x:v>Idle, Walk, Attack, Hurt</x:v>
      </x:c>
      <x:c r="H185" s="1" t="str">
        <x:v>Validated</x:v>
      </x:c>
      <x:c r="I185" s="1" t="str">
        <x:v>Pending</x:v>
      </x:c>
      <x:c r="J185" s="1" t="str">
        <x:v>Binding pending</x:v>
      </x:c>
      <x:c r="K185" s="1" t="str">
        <x:v>portal-slime-polish/Mob_Portal_BLIGHT_SLIME_Polish_06.glb</x:v>
      </x:c>
      <x:c r="L185" s="1" t="str">
        <x:v>a21bd14270587f96afb59193bd3deae46d14431f841b8d17b3cdabdaa2fd94ce</x:v>
      </x:c>
      <x:c r="M185" s="16" t="n">
        <x:v>0</x:v>
      </x:c>
      <x:c r="N185" s="1" t="str">
        <x:v>BLIGHT_SLIME</x:v>
      </x:c>
      <x:c r="O185" s="1" t="str">
        <x:v>Portal_enemy_BLIGHT_SLIME_06</x:v>
      </x:c>
      <x:c r="P185" s="1" t="n">
        <x:v>0</x:v>
      </x:c>
    </x:row>
    <x:row r="186" ht="38" customHeight="1">
      <x:c r="A186" s="1" t="str">
        <x:v>Mob_Portal_BLIGHT_SLIME_Polish_07</x:v>
      </x:c>
      <x:c r="B186" s="1" t="str">
        <x:v>Character</x:v>
      </x:c>
      <x:c r="C186" s="1" t="str">
        <x:v>Portal Realm</x:v>
      </x:c>
      <x:c r="D186" s="5" t="str">
        <x:v>Existing Blight Slime encounter visual</x:v>
      </x:c>
      <x:c r="E186" s="7" t="n">
        <x:v>5928</x:v>
      </x:c>
      <x:c r="F186" s="1" t="str">
        <x:v>PortalCreatureV1</x:v>
      </x:c>
      <x:c r="G186" s="5" t="str">
        <x:v>Idle, Walk, Attack, Hurt</x:v>
      </x:c>
      <x:c r="H186" s="1" t="str">
        <x:v>Validated</x:v>
      </x:c>
      <x:c r="I186" s="1" t="str">
        <x:v>Pending</x:v>
      </x:c>
      <x:c r="J186" s="1" t="str">
        <x:v>Binding pending</x:v>
      </x:c>
      <x:c r="K186" s="1" t="str">
        <x:v>portal-slime-polish/Mob_Portal_BLIGHT_SLIME_Polish_07.glb</x:v>
      </x:c>
      <x:c r="L186" s="1" t="str">
        <x:v>dcc07fe1ca260fd7274f767c873cb84dbc7d07e09ab2ee011f2cb2b4476c214c</x:v>
      </x:c>
      <x:c r="M186" s="16" t="n">
        <x:v>0</x:v>
      </x:c>
      <x:c r="N186" s="1" t="str">
        <x:v>BLIGHT_SLIME</x:v>
      </x:c>
      <x:c r="O186" s="1" t="str">
        <x:v>Portal_enemy_BLIGHT_SLIME_07</x:v>
      </x:c>
      <x:c r="P186" s="1" t="n">
        <x:v>0</x:v>
      </x:c>
    </x:row>
    <x:row r="187" ht="38" customHeight="1">
      <x:c r="A187" s="1" t="str">
        <x:v>Mob_Portal_BLIGHT_SLIME_Polish_08</x:v>
      </x:c>
      <x:c r="B187" s="1" t="str">
        <x:v>Character</x:v>
      </x:c>
      <x:c r="C187" s="1" t="str">
        <x:v>Portal Realm</x:v>
      </x:c>
      <x:c r="D187" s="5" t="str">
        <x:v>Existing Blight Slime encounter visual</x:v>
      </x:c>
      <x:c r="E187" s="7" t="n">
        <x:v>5948</x:v>
      </x:c>
      <x:c r="F187" s="1" t="str">
        <x:v>PortalCreatureV1</x:v>
      </x:c>
      <x:c r="G187" s="5" t="str">
        <x:v>Idle, Walk, Attack, Hurt</x:v>
      </x:c>
      <x:c r="H187" s="1" t="str">
        <x:v>Validated</x:v>
      </x:c>
      <x:c r="I187" s="1" t="str">
        <x:v>Pending</x:v>
      </x:c>
      <x:c r="J187" s="1" t="str">
        <x:v>Binding pending</x:v>
      </x:c>
      <x:c r="K187" s="1" t="str">
        <x:v>portal-slime-polish/Mob_Portal_BLIGHT_SLIME_Polish_08.glb</x:v>
      </x:c>
      <x:c r="L187" s="1" t="str">
        <x:v>5528a9f3cf8706f6adbaa9b2c6d29f09887eb3c2209e08923e5b89fabe11da2a</x:v>
      </x:c>
      <x:c r="M187" s="16" t="n">
        <x:v>0</x:v>
      </x:c>
      <x:c r="N187" s="1" t="str">
        <x:v>BLIGHT_SLIME</x:v>
      </x:c>
      <x:c r="O187" s="1" t="str">
        <x:v>Portal_enemy_BLIGHT_SLIME_08</x:v>
      </x:c>
      <x:c r="P187" s="1" t="n">
        <x:v>0</x:v>
      </x:c>
    </x:row>
    <x:row r="188" ht="38" customHeight="1">
      <x:c r="A188" s="1" t="str">
        <x:v>Mob_Portal_BLIGHT_SLIME_Polish_09</x:v>
      </x:c>
      <x:c r="B188" s="1" t="str">
        <x:v>Character</x:v>
      </x:c>
      <x:c r="C188" s="1" t="str">
        <x:v>Portal Realm</x:v>
      </x:c>
      <x:c r="D188" s="5" t="str">
        <x:v>Existing Blight Slime encounter visual</x:v>
      </x:c>
      <x:c r="E188" s="7" t="n">
        <x:v>5968</x:v>
      </x:c>
      <x:c r="F188" s="1" t="str">
        <x:v>PortalCreatureV1</x:v>
      </x:c>
      <x:c r="G188" s="5" t="str">
        <x:v>Idle, Walk, Attack, Hurt</x:v>
      </x:c>
      <x:c r="H188" s="1" t="str">
        <x:v>Validated</x:v>
      </x:c>
      <x:c r="I188" s="1" t="str">
        <x:v>Pending</x:v>
      </x:c>
      <x:c r="J188" s="1" t="str">
        <x:v>Binding pending</x:v>
      </x:c>
      <x:c r="K188" s="1" t="str">
        <x:v>portal-slime-polish/Mob_Portal_BLIGHT_SLIME_Polish_09.glb</x:v>
      </x:c>
      <x:c r="L188" s="1" t="str">
        <x:v>03ed035dfdf5ec0ad1273b7127ed05864dc177fd691c560fdf0e522b0d1204b5</x:v>
      </x:c>
      <x:c r="M188" s="16" t="n">
        <x:v>0</x:v>
      </x:c>
      <x:c r="N188" s="1" t="str">
        <x:v>BLIGHT_SLIME</x:v>
      </x:c>
      <x:c r="O188" s="1" t="str">
        <x:v>Portal_enemy_BLIGHT_SLIME_09</x:v>
      </x:c>
      <x:c r="P188" s="1" t="n">
        <x:v>0</x:v>
      </x:c>
    </x:row>
    <x:row r="189" ht="38" customHeight="1">
      <x:c r="A189" s="1" t="str">
        <x:v>Mob_Portal_BLIGHT_SLIME_Polish_10</x:v>
      </x:c>
      <x:c r="B189" s="1" t="str">
        <x:v>Character</x:v>
      </x:c>
      <x:c r="C189" s="1" t="str">
        <x:v>Portal Realm</x:v>
      </x:c>
      <x:c r="D189" s="5" t="str">
        <x:v>Existing Blight Slime encounter visual</x:v>
      </x:c>
      <x:c r="E189" s="7" t="n">
        <x:v>5988</x:v>
      </x:c>
      <x:c r="F189" s="1" t="str">
        <x:v>PortalCreatureV1</x:v>
      </x:c>
      <x:c r="G189" s="5" t="str">
        <x:v>Idle, Walk, Attack, Hurt</x:v>
      </x:c>
      <x:c r="H189" s="1" t="str">
        <x:v>Validated</x:v>
      </x:c>
      <x:c r="I189" s="1" t="str">
        <x:v>Pending</x:v>
      </x:c>
      <x:c r="J189" s="1" t="str">
        <x:v>Binding pending</x:v>
      </x:c>
      <x:c r="K189" s="1" t="str">
        <x:v>portal-slime-polish/Mob_Portal_BLIGHT_SLIME_Polish_10.glb</x:v>
      </x:c>
      <x:c r="L189" s="1" t="str">
        <x:v>0646f6c8ad458b2ec9079cb31a683c0d660cc3eca1933d1fd078086047e22ac5</x:v>
      </x:c>
      <x:c r="M189" s="16" t="n">
        <x:v>0</x:v>
      </x:c>
      <x:c r="N189" s="1" t="str">
        <x:v>BLIGHT_SLIME</x:v>
      </x:c>
      <x:c r="O189" s="1" t="str">
        <x:v>Portal_enemy_BLIGHT_SLIME_10</x:v>
      </x:c>
      <x:c r="P189" s="1" t="n">
        <x:v>0</x:v>
      </x:c>
    </x:row>
  </x:sheetData>
  <x:dataValidations count="6">
    <x:dataValidation type="list" sqref="I6:I72">
      <x:formula1>"Pending,Imported,Play proven"</x:formula1>
    </x:dataValidation>
    <x:dataValidation type="list" sqref="J6:J72">
      <x:formula1>"Binding pending,Core tested,Play proven"</x:formula1>
    </x:dataValidation>
    <x:dataValidation type="list" sqref="I73:I163">
      <x:formula1>"Pending,Imported,Play proven"</x:formula1>
    </x:dataValidation>
    <x:dataValidation type="list" sqref="J73:J163">
      <x:formula1>"Binding pending,Core tested,Play proven"</x:formula1>
    </x:dataValidation>
    <x:dataValidation type="list" sqref="I164:I189">
      <x:formula1>"Pending,Imported,Play proven"</x:formula1>
    </x:dataValidation>
    <x:dataValidation type="list" sqref="J164:J189">
      <x:formula1>"Binding pending,Core tested,Play proven"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40" hidden="0" customWidth="1"/>
    <x:col min="3" max="3" width="50" hidden="0" customWidth="1"/>
    <x:col min="4" max="4" width="24" hidden="0" customWidth="1"/>
    <x:col min="5" max="5" width="5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>
      <x:c r="A2" s="3" t="str">
        <x:v>Realm mechanics and story build list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 t="str">
        <x:v>Source: cast role brief and new art-led proposals. Values and rewards await director review.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6" customHeight="1">
      <x:c r="A5" s="12" t="str">
        <x:v>ID</x:v>
      </x:c>
      <x:c r="B5" s="12" t="str">
        <x:v>Mechanic / quest</x:v>
      </x:c>
      <x:c r="C5" s="12" t="str">
        <x:v>Relevant assets</x:v>
      </x:c>
      <x:c r="D5" s="12" t="str">
        <x:v>Implementation</x:v>
      </x:c>
      <x:c r="E5" s="12" t="str">
        <x:v>Story consequence</x:v>
      </x:c>
      <x:c r="F5" s="2"/>
      <x:c r="G5" s="2"/>
      <x:c r="H5" s="2"/>
      <x:c r="I5" s="2"/>
      <x:c r="J5" s="2"/>
      <x:c r="K5" s="2"/>
      <x:c r="L5" s="2"/>
    </x:row>
    <x:row r="6" ht="46" customHeight="1">
      <x:c r="A6" s="2" t="str">
        <x:v>LAB01</x:v>
      </x:c>
      <x:c r="B6" s="4" t="str">
        <x:v>Chalk marks with limited charges</x:v>
      </x:c>
      <x:c r="C6" s="4" t="str">
        <x:v>ChalkMarker, ChalkEater, ChalkKitten</x:v>
      </x:c>
      <x:c r="D6" s="4" t="str">
        <x:v>Portable core tested</x:v>
      </x:c>
      <x:c r="E6" s="4" t="str">
        <x:v>Learn that a route can be changed without losing quest progress</x:v>
      </x:c>
      <x:c r="F6" s="2"/>
      <x:c r="G6" s="2"/>
      <x:c r="H6" s="2"/>
      <x:c r="I6" s="2"/>
      <x:c r="J6" s="2"/>
      <x:c r="K6" s="2"/>
      <x:c r="L6" s="2"/>
    </x:row>
    <x:row r="7" ht="46" customHeight="1">
      <x:c r="A7" s="2" t="str">
        <x:v>LAB02</x:v>
      </x:c>
      <x:c r="B7" s="4" t="str">
        <x:v>Thread route anchored at safe points</x:v>
      </x:c>
      <x:c r="C7" s="4" t="str">
        <x:v>ThreadSpinnerAri, ThreadAnchor, ThreadMoth</x:v>
      </x:c>
      <x:c r="D7" s="4" t="str">
        <x:v>Proposed</x:v>
      </x:c>
      <x:c r="E7" s="4" t="str">
        <x:v>Bring the lost survey party home</x:v>
      </x:c>
      <x:c r="F7" s="2"/>
      <x:c r="G7" s="2"/>
      <x:c r="H7" s="2"/>
      <x:c r="I7" s="2"/>
      <x:c r="J7" s="2"/>
      <x:c r="K7" s="2"/>
      <x:c r="L7" s="2"/>
    </x:row>
    <x:row r="8" ht="46" customHeight="1">
      <x:c r="A8" s="2" t="str">
        <x:v>LAB03</x:v>
      </x:c>
      <x:c r="B8" s="4" t="str">
        <x:v>Echo bell timing gate</x:v>
      </x:c>
      <x:c r="C8" s="4" t="str">
        <x:v>EchoBell, EchoHermit, EchoCricket</x:v>
      </x:c>
      <x:c r="D8" s="4" t="str">
        <x:v>Proposed</x:v>
      </x:c>
      <x:c r="E8" s="4" t="str">
        <x:v>Listen to the maze before trusting a map</x:v>
      </x:c>
      <x:c r="F8" s="2"/>
      <x:c r="G8" s="2"/>
      <x:c r="H8" s="2"/>
      <x:c r="I8" s="2"/>
      <x:c r="J8" s="2"/>
      <x:c r="K8" s="2"/>
      <x:c r="L8" s="2"/>
    </x:row>
    <x:row r="9" ht="46" customHeight="1">
      <x:c r="A9" s="2" t="str">
        <x:v>LAB04</x:v>
      </x:c>
      <x:c r="B9" s="4" t="str">
        <x:v>Compare two unreliable maps</x:v>
      </x:c>
      <x:c r="C9" s="4" t="str">
        <x:v>LostCartographer, ArchitectApprentice</x:v>
      </x:c>
      <x:c r="D9" s="4" t="str">
        <x:v>Proposed</x:v>
      </x:c>
      <x:c r="E9" s="4" t="str">
        <x:v>Repair the Broken Survey</x:v>
      </x:c>
      <x:c r="F9" s="2"/>
      <x:c r="G9" s="2"/>
      <x:c r="H9" s="2"/>
      <x:c r="I9" s="2"/>
      <x:c r="J9" s="2"/>
      <x:c r="K9" s="2"/>
      <x:c r="L9" s="2"/>
    </x:row>
    <x:row r="10" ht="46" customHeight="1">
      <x:c r="A10" s="2" t="str">
        <x:v>LAB05</x:v>
      </x:c>
      <x:c r="B10" s="4" t="str">
        <x:v>Care before a sky-strider ride</x:v>
      </x:c>
      <x:c r="C10" s="4" t="str">
        <x:v>StriderTamerOona, SkyStrider, StriderPerch</x:v>
      </x:c>
      <x:c r="D10" s="4" t="str">
        <x:v>Proposed</x:v>
      </x:c>
      <x:c r="E10" s="4" t="str">
        <x:v>Earn a safer return route</x:v>
      </x:c>
      <x:c r="F10" s="2"/>
      <x:c r="G10" s="2"/>
      <x:c r="H10" s="2"/>
      <x:c r="I10" s="2"/>
      <x:c r="J10" s="2"/>
      <x:c r="K10" s="2"/>
      <x:c r="L10" s="2"/>
    </x:row>
    <x:row r="11" ht="46" customHeight="1">
      <x:c r="A11" s="2" t="str">
        <x:v>LAB06</x:v>
      </x:c>
      <x:c r="B11" s="4" t="str">
        <x:v>Calm Hornbacks with water and space</x:v>
      </x:c>
      <x:c r="C11" s="4" t="str">
        <x:v>HerdWardenTobi, HornbackBull, HornbackTrough</x:v>
      </x:c>
      <x:c r="D11" s="4" t="str">
        <x:v>Proposed</x:v>
      </x:c>
      <x:c r="E11" s="4" t="str">
        <x:v>Replace a dangerous stampede with a guided passage</x:v>
      </x:c>
      <x:c r="F11" s="2"/>
      <x:c r="G11" s="2"/>
      <x:c r="H11" s="2"/>
      <x:c r="I11" s="2"/>
      <x:c r="J11" s="2"/>
      <x:c r="K11" s="2"/>
      <x:c r="L11" s="2"/>
    </x:row>
    <x:row r="12" ht="46" customHeight="1">
      <x:c r="A12" s="2" t="str">
        <x:v>LAB07</x:v>
      </x:c>
      <x:c r="B12" s="4" t="str">
        <x:v>Twin Doors truth/lie puzzle</x:v>
      </x:c>
      <x:c r="C12" s="4" t="str">
        <x:v>TwinDoors, GateRiddler, GateArch</x:v>
      </x:c>
      <x:c r="D12" s="4" t="str">
        <x:v>Proposed</x:v>
      </x:c>
      <x:c r="E12" s="4" t="str">
        <x:v>Open the archive through reasoning</x:v>
      </x:c>
      <x:c r="F12" s="2"/>
      <x:c r="G12" s="2"/>
      <x:c r="H12" s="2"/>
      <x:c r="I12" s="2"/>
      <x:c r="J12" s="2"/>
      <x:c r="K12" s="2"/>
      <x:c r="L12" s="2"/>
    </x:row>
    <x:row r="13" ht="46" customHeight="1">
      <x:c r="A13" s="2" t="str">
        <x:v>LAB08</x:v>
      </x:c>
      <x:c r="B13" s="4" t="str">
        <x:v>Folding Maze boss changes safe corridors</x:v>
      </x:c>
      <x:c r="C13" s="4" t="str">
        <x:v>FoldingMaze, WallMimic, Wall4m</x:v>
      </x:c>
      <x:c r="D13" s="4" t="str">
        <x:v>Proposed</x:v>
      </x:c>
      <x:c r="E13" s="4" t="str">
        <x:v>Restore an exit without destroying the living maze</x:v>
      </x:c>
      <x:c r="F13" s="2"/>
      <x:c r="G13" s="2"/>
      <x:c r="H13" s="2"/>
      <x:c r="I13" s="2"/>
      <x:c r="J13" s="2"/>
      <x:c r="K13" s="2"/>
      <x:c r="L13" s="2"/>
    </x:row>
    <x:row r="14" ht="46" customHeight="1">
      <x:c r="A14" s="2" t="str">
        <x:v>LAB09</x:v>
      </x:c>
      <x:c r="B14" s="4" t="str">
        <x:v>Halloween belongs only in Labyrinth</x:v>
      </x:c>
      <x:c r="C14" s="4" t="str">
        <x:v>Twelve Halloween scenery props</x:v>
      </x:c>
      <x:c r="D14" s="4" t="str">
        <x:v>Art built. Binding pending</x:v>
      </x:c>
      <x:c r="E14" s="4" t="str">
        <x:v>The maze keeps the seasonal folklore</x:v>
      </x:c>
      <x:c r="F14" s="2"/>
      <x:c r="G14" s="2"/>
      <x:c r="H14" s="2"/>
      <x:c r="I14" s="2"/>
      <x:c r="J14" s="2"/>
      <x:c r="K14" s="2"/>
      <x:c r="L14" s="2"/>
    </x:row>
    <x:row r="15" ht="46" customHeight="1">
      <x:c r="A15" s="2" t="str">
        <x:v>LAB10</x:v>
      </x:c>
      <x:c r="B15" s="4" t="str">
        <x:v>Carnivorous plants help and defend players</x:v>
      </x:c>
      <x:c r="C15" s="4" t="str">
        <x:v>VenusGuide, PitcherMedic, SundewGuardian</x:v>
      </x:c>
      <x:c r="D15" s="4" t="str">
        <x:v>Portable policy tested</x:v>
      </x:c>
      <x:c r="E15" s="4" t="str">
        <x:v>Kindness can grow in frightening places</x:v>
      </x:c>
      <x:c r="F15" s="2"/>
      <x:c r="G15" s="2"/>
      <x:c r="H15" s="2"/>
      <x:c r="I15" s="2"/>
      <x:c r="J15" s="2"/>
      <x:c r="K15" s="2"/>
      <x:c r="L15" s="2"/>
    </x:row>
    <x:row r="16" ht="46" customHeight="1">
      <x:c r="A16" s="2" t="str">
        <x:v>LAB11</x:v>
      </x:c>
      <x:c r="B16" s="4" t="str">
        <x:v>Plant aid quests teach care before reward</x:v>
      </x:c>
      <x:c r="C16" s="4" t="str">
        <x:v>Friendly plants, trough, route markers</x:v>
      </x:c>
      <x:c r="D16" s="4" t="str">
        <x:v>Proposed</x:v>
      </x:c>
      <x:c r="E16" s="4" t="str">
        <x:v>Help the helpers maintain safe passages</x:v>
      </x:c>
      <x:c r="F16" s="2"/>
      <x:c r="G16" s="2"/>
      <x:c r="H16" s="2"/>
      <x:c r="I16" s="2"/>
      <x:c r="J16" s="2"/>
      <x:c r="K16" s="2"/>
      <x:c r="L16" s="2"/>
    </x:row>
    <x:row r="17" ht="46" customHeight="1">
      <x:c r="A17" s="2" t="str">
        <x:v>PORT01</x:v>
      </x:c>
      <x:c r="B17" s="4" t="str">
        <x:v>Existing keys and chest rules</x:v>
      </x:c>
      <x:c r="C17" s="4" t="str">
        <x:v>BronzeGate, SilverGate, StarGate, KeyChest</x:v>
      </x:c>
      <x:c r="D17" s="4" t="str">
        <x:v>Source implemented. Binding pending</x:v>
      </x:c>
      <x:c r="E17" s="4" t="str">
        <x:v>Earn passage through the queen’s archive</x:v>
      </x:c>
      <x:c r="F17" s="2"/>
      <x:c r="G17" s="2"/>
      <x:c r="H17" s="2"/>
      <x:c r="I17" s="2"/>
      <x:c r="J17" s="2"/>
      <x:c r="K17" s="2"/>
      <x:c r="L17" s="2"/>
    </x:row>
    <x:row r="18" ht="46" customHeight="1">
      <x:c r="A18" s="2" t="str">
        <x:v>PORT02</x:v>
      </x:c>
      <x:c r="B18" s="4" t="str">
        <x:v>Existing depth and encounter zones</x:v>
      </x:c>
      <x:c r="C18" s="4" t="str">
        <x:v>Fifteen RetroMonster source keys</x:v>
      </x:c>
      <x:c r="D18" s="4" t="str">
        <x:v>Source implemented. Binding pending</x:v>
      </x:c>
      <x:c r="E18" s="4" t="str">
        <x:v>Danger rises with the journey, not a cosmetic tier</x:v>
      </x:c>
      <x:c r="F18" s="2"/>
      <x:c r="G18" s="2"/>
      <x:c r="H18" s="2"/>
      <x:c r="I18" s="2"/>
      <x:c r="J18" s="2"/>
      <x:c r="K18" s="2"/>
      <x:c r="L18" s="2"/>
    </x:row>
    <x:row r="19" ht="46" customHeight="1">
      <x:c r="A19" s="2" t="str">
        <x:v>PORT03</x:v>
      </x:c>
      <x:c r="B19" s="4" t="str">
        <x:v>Inn, shops, queen and map-derived hints</x:v>
      </x:c>
      <x:c r="C19" s="4" t="str">
        <x:v>Twelve town NPC art forms</x:v>
      </x:c>
      <x:c r="D19" s="4" t="str">
        <x:v>Source implemented. Binding pending</x:v>
      </x:c>
      <x:c r="E19" s="4" t="str">
        <x:v>Each town teaches something useful for the road</x:v>
      </x:c>
      <x:c r="F19" s="2"/>
      <x:c r="G19" s="2"/>
      <x:c r="H19" s="2"/>
      <x:c r="I19" s="2"/>
      <x:c r="J19" s="2"/>
      <x:c r="K19" s="2"/>
      <x:c r="L19" s="2"/>
    </x:row>
    <x:row r="20" ht="46" customHeight="1">
      <x:c r="A20" s="2" t="str">
        <x:v>PORT04</x:v>
      </x:c>
      <x:c r="B20" s="4" t="str">
        <x:v>Four party forms</x:v>
      </x:c>
      <x:c r="C20" s="4" t="str">
        <x:v>Knight, Tinker, Herbalist, Bard</x:v>
      </x:c>
      <x:c r="D20" s="4" t="str">
        <x:v>Art built. Party integration pending</x:v>
      </x:c>
      <x:c r="E20" s="4" t="str">
        <x:v>Travellers take on this realm’s roles</x:v>
      </x:c>
      <x:c r="F20" s="2"/>
      <x:c r="G20" s="2"/>
      <x:c r="H20" s="2"/>
      <x:c r="I20" s="2"/>
      <x:c r="J20" s="2"/>
      <x:c r="K20" s="2"/>
      <x:c r="L20" s="2"/>
    </x:row>
    <x:row r="21" ht="46" customHeight="1">
      <x:c r="A21" s="2" t="str">
        <x:v>PORT05</x:v>
      </x:c>
      <x:c r="B21" s="4" t="str">
        <x:v>Golden Puffcap encounter</x:v>
      </x:c>
      <x:c r="C21" s="4" t="str">
        <x:v>GOLDEN_PUFFCAP_T1</x:v>
      </x:c>
      <x:c r="D21" s="4" t="str">
        <x:v>Proposed. No encounter odds added</x:v>
      </x:c>
      <x:c r="E21" s="4" t="str">
        <x:v>A rare surprise without replacing Lucky Drip</x:v>
      </x:c>
      <x:c r="F21" s="2"/>
      <x:c r="G21" s="2"/>
      <x:c r="H21" s="2"/>
      <x:c r="I21" s="2"/>
      <x:c r="J21" s="2"/>
      <x:c r="K21" s="2"/>
      <x:c r="L21" s="2"/>
    </x:row>
    <x:row r="22" ht="46" customHeight="1">
      <x:c r="A22" s="2" t="str">
        <x:v>PORT06</x:v>
      </x:c>
      <x:c r="B22" s="4" t="str">
        <x:v>Land egg growth stages</x:v>
      </x:c>
      <x:c r="C22" s="4" t="str">
        <x:v>Intact/cracked egg, hatchling/young dragon</x:v>
      </x:c>
      <x:c r="D22" s="4" t="str">
        <x:v>Art built. Token/gameplay pending</x:v>
      </x:c>
      <x:c r="E22" s="4" t="str">
        <x:v>One egg becomes a companion while keeping its identity</x:v>
      </x:c>
      <x:c r="F22" s="2"/>
      <x:c r="G22" s="2"/>
      <x:c r="H22" s="2"/>
      <x:c r="I22" s="2"/>
      <x:c r="J22" s="2"/>
      <x:c r="K22" s="2"/>
      <x:c r="L22" s="2"/>
    </x:row>
    <x:row r="23" ht="46" customHeight="1">
      <x:c r="A23" s="2" t="str">
        <x:v>PORT07</x:v>
      </x:c>
      <x:c r="B23" s="4" t="str">
        <x:v>Bard gives an accessible route refrain</x:v>
      </x:c>
      <x:c r="C23" s="4" t="str">
        <x:v>Bard, TavernBard, StagePlatform</x:v>
      </x:c>
      <x:c r="D23" s="4" t="str">
        <x:v>Proposed</x:v>
      </x:c>
      <x:c r="E23" s="4" t="str">
        <x:v>A song and matching text clue help find the next town</x:v>
      </x:c>
      <x:c r="F23" s="2"/>
      <x:c r="G23" s="2"/>
      <x:c r="H23" s="2"/>
      <x:c r="I23" s="2"/>
      <x:c r="J23" s="2"/>
      <x:c r="K23" s="2"/>
      <x:c r="L23" s="2"/>
    </x:row>
    <x:row r="24" ht="46" customHeight="1">
      <x:c r="A24" s="2" t="str">
        <x:v>PORT08</x:v>
      </x:c>
      <x:c r="B24" s="4" t="str">
        <x:v>Touring jukebox cue reuse</x:v>
      </x:c>
      <x:c r="C24" s="4" t="str">
        <x:v>StagePlatform, TavernBard</x:v>
      </x:c>
      <x:c r="D24" s="4" t="str">
        <x:v>Existing audio route. Binding pending</x:v>
      </x:c>
      <x:c r="E24" s="4" t="str">
        <x:v>Rest and concerts make towns feel inhabited</x:v>
      </x:c>
      <x:c r="F24" s="2"/>
      <x:c r="G24" s="2"/>
      <x:c r="H24" s="2"/>
      <x:c r="I24" s="2"/>
      <x:c r="J24" s="2"/>
      <x:c r="K24" s="2"/>
      <x:c r="L24" s="2"/>
    </x:row>
    <x:row r="25" ht="52" customHeight="1">
      <x:c r="A25" s="2" t="str">
        <x:v>PORT09</x:v>
      </x:c>
      <x:c r="B25" s="4" t="str">
        <x:v>Kings favours, rescues, unicorn requests</x:v>
      </x:c>
      <x:c r="C25" s="4" t="str">
        <x:v>Ordered quest core</x:v>
      </x:c>
      <x:c r="D25" s="4" t="str">
        <x:v>Core tested; persistence and rewards pending</x:v>
      </x:c>
      <x:c r="E25" s="4" t="str">
        <x:v>Royal roads connect rescued towns and helpful herds</x:v>
      </x:c>
      <x:c r="F25" s="2"/>
      <x:c r="G25" s="2"/>
      <x:c r="H25" s="2"/>
      <x:c r="I25" s="2"/>
      <x:c r="J25" s="2"/>
      <x:c r="K25" s="2"/>
      <x:c r="L25" s="2"/>
    </x:row>
    <x:row r="26" ht="52" customHeight="1">
      <x:c r="A26" s="2" t="str">
        <x:v>PORT10</x:v>
      </x:c>
      <x:c r="B26" s="4" t="str">
        <x:v>Additive 3D battle presentation</x:v>
      </x:c>
      <x:c r="C26" s="4" t="str">
        <x:v>Battle director + presentation actor</x:v>
      </x:c>
      <x:c r="D26" s="4" t="str">
        <x:v>Isolated UE compile/link; live binding pending</x:v>
      </x:c>
      <x:c r="E26" s="4" t="str">
        <x:v>Preserve classic rules and improve expressive battles</x:v>
      </x:c>
      <x:c r="F26" s="2"/>
      <x:c r="G26" s="2"/>
      <x:c r="H26" s="2"/>
      <x:c r="I26" s="2"/>
      <x:c r="J26" s="2"/>
      <x:c r="K26" s="2"/>
      <x:c r="L26" s="2"/>
    </x:row>
    <x:row r="27" ht="52" customHeight="1">
      <x:c r="A27" s="2" t="str">
        <x:v>PORT11</x:v>
      </x:c>
      <x:c r="B27" s="4" t="str">
        <x:v>Hero/slime polish and hero detail levels</x:v>
      </x:c>
      <x:c r="C27" s="4" t="str">
        <x:v>Hero + 10 slimes + 2 reduced exports</x:v>
      </x:c>
      <x:c r="D27" s="4" t="str">
        <x:v>Exports validated; visual/native acceptance pending</x:v>
      </x:c>
      <x:c r="E27" s="4" t="str">
        <x:v>Distinct silhouettes retain the raw realm identity</x:v>
      </x:c>
      <x:c r="F27" s="2"/>
      <x:c r="G27" s="2"/>
      <x:c r="H27" s="2"/>
      <x:c r="I27" s="2"/>
      <x:c r="J27" s="2"/>
      <x:c r="K27" s="2"/>
      <x:c r="L27" s="2"/>
    </x:row>
    <x:row r="28" ht="52" customHeight="1">
      <x:c r="A28" s="2" t="str">
        <x:v>PORT12</x:v>
      </x:c>
      <x:c r="B28" s="4" t="str">
        <x:v>Dragon egg and configured land annotations</x:v>
      </x:c>
      <x:c r="C28" s="4" t="str">
        <x:v>Java egg + DRR codec parity</x:v>
      </x:c>
      <x:c r="D28" s="4" t="str">
        <x:v>Targeted Java parity tested; ownership authority pending</x:v>
      </x:c>
      <x:c r="E28" s="4" t="str">
        <x:v>Native drake semantics preserved without demo deed authority</x:v>
      </x:c>
      <x:c r="F28" s="2"/>
      <x:c r="G28" s="2"/>
      <x:c r="H28" s="2"/>
      <x:c r="I28" s="2"/>
      <x:c r="J28" s="2"/>
      <x:c r="K28" s="2"/>
      <x:c r="L28" s="2"/>
    </x:row>
    <x:row r="29" ht="52" customHeight="1">
      <x:c r="A29" s="2" t="str">
        <x:v>SEA01</x:v>
      </x:c>
      <x:c r="B29" s="4" t="str">
        <x:v>Boats/submarines enter ocean; shores return; underwater docks connect worlds</x:v>
      </x:c>
      <x:c r="C29" s="4" t="str">
        <x:v>Dock route core</x:v>
      </x:c>
      <x:c r="D29" s="4" t="str">
        <x:v>Core tested; vessels/live transitions pending</x:v>
      </x:c>
      <x:c r="E29" s="4" t="str">
        <x:v>Explore sea routes and drowned settlements</x:v>
      </x:c>
      <x:c r="F29" s="2"/>
      <x:c r="G29" s="2"/>
      <x:c r="H29" s="2"/>
      <x:c r="I29" s="2"/>
      <x:c r="J29" s="2"/>
      <x:c r="K29" s="2"/>
      <x:c r="L29" s="2"/>
    </x:row>
    <x:row r="30" ht="52" customHeight="1">
      <x:c r="A30" s="2" t="str">
        <x:v>LAND01</x:v>
      </x:c>
      <x:c r="B30" s="4" t="str">
        <x:v>Long prairie range and submerged seabed</x:v>
      </x:c>
      <x:c r="C30" s="4" t="str">
        <x:v>Terrain core + native actor</x:v>
      </x:c>
      <x:c r="D30" s="4" t="str">
        <x:v>Isolated UE compile/link; placement pending</x:v>
      </x:c>
      <x:c r="E30" s="4" t="str">
        <x:v>Buffalo ranges, travel corridors and ocean exploration</x:v>
      </x:c>
      <x:c r="F30" s="2"/>
      <x:c r="G30" s="2"/>
      <x:c r="H30" s="2"/>
      <x:c r="I30" s="2"/>
      <x:c r="J30" s="2"/>
      <x:c r="K30" s="2"/>
      <x:c r="L30" s="2"/>
    </x:row>
    <x:row r="31" ht="52" customHeight="1">
      <x:c r="A31" s="2" t="str">
        <x:v>CAST01</x:v>
      </x:c>
      <x:c r="B31" s="4" t="str">
        <x:v>50 enemy and 50 friendly types, 10 each</x:v>
      </x:c>
      <x:c r="C31" s="4" t="str">
        <x:v>1000 individual production IDs</x:v>
      </x:c>
      <x:c r="D31" s="4" t="str">
        <x:v>10 enemy candidates validated; others planned</x:v>
      </x:c>
      <x:c r="E31" s="4" t="str">
        <x:v>Kings, rescues and unicorn biddings drive the cast</x:v>
      </x:c>
      <x:c r="F31" s="2"/>
      <x:c r="G31" s="2"/>
      <x:c r="H31" s="2"/>
      <x:c r="I31" s="2"/>
      <x:c r="J31" s="2"/>
      <x:c r="K31" s="2"/>
      <x:c r="L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</x:sheetData>
  <x:pageMargins left="0.7" right="0.7" top="0.75" bottom="0.75" header="0.3" footer="0.3"/>
</x:worksheet>
</file>