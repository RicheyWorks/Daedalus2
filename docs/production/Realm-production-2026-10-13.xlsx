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a17be1af643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549d44a51f254c04"/>
    <x:sheet xmlns:r="http://schemas.openxmlformats.org/officeDocument/2006/relationships" name="Assets" sheetId="2" r:id="Rae2193682cf8474a"/>
    <x:sheet xmlns:r="http://schemas.openxmlformats.org/officeDocument/2006/relationships" name="Mechanics" sheetId="3" r:id="Rfd78cdb171e241f2"/>
    <x:sheet xmlns:r="http://schemas.openxmlformats.org/officeDocument/2006/relationships" name="Unreal verification" sheetId="4" r:id="R7e709991c17b4d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cd37a5f24842e5" /><Relationship Type="http://schemas.openxmlformats.org/officeDocument/2006/relationships/theme" Target="/xl/theme/theme1.xml" Id="R746236ae3a8449ce" /><Relationship Type="http://schemas.openxmlformats.org/officeDocument/2006/relationships/sharedStrings" Target="/xl/sharedStrings.xml" Id="R9f3cfd99854a4adc" /><Relationship Type="http://schemas.openxmlformats.org/officeDocument/2006/relationships/worksheet" Target="/xl/worksheets/sheet1.xml" Id="R549d44a51f254c04" /><Relationship Type="http://schemas.openxmlformats.org/officeDocument/2006/relationships/worksheet" Target="/xl/worksheets/sheet2.xml" Id="Rae2193682cf8474a" /><Relationship Type="http://schemas.openxmlformats.org/officeDocument/2006/relationships/worksheet" Target="/xl/worksheets/sheet3.xml" Id="Rfd78cdb171e241f2" /><Relationship Type="http://schemas.openxmlformats.org/officeDocument/2006/relationships/worksheet" Target="/xl/worksheets/sheet4.xml" Id="R7e709991c17b4df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SUMIFS(Assets!$M$6:$M$344,Assets!$C$6:$C$344,A7)</x:f>
        <x:v>35</x:v>
      </x:c>
      <x:c r="E7" s="6" t="n">
        <x:f>COUNTIFS(Assets!$C$6:$C$344,A7,Assets!$B$6:$B$344,"Character",Assets!$H$6:$H$344,"Validated")</x:f>
        <x:v>35</x:v>
      </x:c>
      <x:c r="F7" s="6" t="n">
        <x:f>COUNTIFS(Assets!$C$6:$C$344,A7,Assets!$B$6:$B$344,"Character",Assets!$I$6:$I$344,"Play proven")</x:f>
        <x:v>0</x:v>
      </x:c>
      <x:c r="G7" s="6" t="n">
        <x:f>C7-D7</x:f>
        <x:v>0</x:v>
      </x:c>
      <x:c r="H7" s="6" t="n">
        <x:f>COUNTIFS(Assets!$C$6:$C$344,A7)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SUMIFS(Assets!$M$6:$M$344,Assets!$C$6:$C$344,A8)</x:f>
        <x:v>32</x:v>
      </x:c>
      <x:c r="E8" s="2" t="n">
        <x:f>COUNTIFS(Assets!$C$6:$C$344,A8,Assets!$B$6:$B$344,"Character",Assets!$H$6:$H$344,"Validated")</x:f>
        <x:v>32</x:v>
      </x:c>
      <x:c r="F8" s="2" t="n">
        <x:f>COUNTIFS(Assets!$C$6:$C$344,A8,Assets!$B$6:$B$344,"Character",Assets!$I$6:$I$344,"Play proven")</x:f>
        <x:v>0</x:v>
      </x:c>
      <x:c r="G8" s="2" t="n">
        <x:f>C8-D8</x:f>
        <x:v>0</x:v>
      </x:c>
      <x:c r="H8" s="2" t="n">
        <x:f>COUNTIFS(Assets!$C$6:$C$344,A8)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SUMIFS(Assets!$M$6:$M$344,Assets!$C$6:$C$344,A9)</x:f>
        <x:v>33</x:v>
      </x:c>
      <x:c r="E9" s="2" t="n">
        <x:f>COUNTIFS(Assets!$C$6:$C$344,A9,Assets!$B$6:$B$344,"Character",Assets!$H$6:$H$344,"Validated")</x:f>
        <x:v>77</x:v>
      </x:c>
      <x:c r="F9" s="2" t="n">
        <x:f>COUNTIFS(Assets!$C$6:$C$344,A9,Assets!$B$6:$B$344,"Character",Assets!$I$6:$I$344,"Play proven")</x:f>
        <x:v>0</x:v>
      </x:c>
      <x:c r="G9" s="2" t="n">
        <x:f>C9-D9</x:f>
        <x:v>0</x:v>
      </x:c>
      <x:c r="H9" s="2" t="n">
        <x:f>COUNTIFS(Assets!$C$6:$C$344,A9)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SUMIFS(Assets!$M$6:$M$344,Assets!$C$6:$C$344,A10)</x:f>
        <x:v>32</x:v>
      </x:c>
      <x:c r="E10" s="2" t="n">
        <x:f>COUNTIFS(Assets!$C$6:$C$344,A10,Assets!$B$6:$B$344,"Character",Assets!$H$6:$H$344,"Validated")</x:f>
        <x:v>32</x:v>
      </x:c>
      <x:c r="F10" s="2" t="n">
        <x:f>COUNTIFS(Assets!$C$6:$C$344,A10,Assets!$B$6:$B$344,"Character",Assets!$I$6:$I$344,"Play proven")</x:f>
        <x:v>0</x:v>
      </x:c>
      <x:c r="G10" s="2" t="n">
        <x:f>C10-D10</x:f>
        <x:v>0</x:v>
      </x:c>
      <x:c r="H10" s="2" t="n">
        <x:f>COUNTIFS(Assets!$C$6:$C$344,A10)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SUMIFS(Assets!$M$6:$M$344,Assets!$C$6:$C$344,A11)</x:f>
        <x:v>32</x:v>
      </x:c>
      <x:c r="E11" s="2" t="n">
        <x:f>COUNTIFS(Assets!$C$6:$C$344,A11,Assets!$B$6:$B$344,"Character",Assets!$H$6:$H$344,"Validated")</x:f>
        <x:v>32</x:v>
      </x:c>
      <x:c r="F11" s="2" t="n">
        <x:f>COUNTIFS(Assets!$C$6:$C$344,A11,Assets!$B$6:$B$344,"Character",Assets!$I$6:$I$344,"Play proven")</x:f>
        <x:v>0</x:v>
      </x:c>
      <x:c r="G11" s="2" t="n">
        <x:f>C11-D11</x:f>
        <x:v>0</x:v>
      </x:c>
      <x:c r="H11" s="2" t="n">
        <x:f>COUNTIFS(Assets!$C$6:$C$344,A11)</x:f>
        <x:v>56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SUM(Assets!E6:E344)</x:f>
        <x:v>311464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COUNTIFS(Assets!B6:B344,"Prop")+COUNTIFS(Assets!B6:B344,"Item")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Codex kits: 339 unique asset references, including one unchanged AMF reuse. Export validation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Headless native verification; art/remote exit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function paths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COUNTIF(D8:D22,"Verified")</x:f>
        <x:v>9</x:v>
      </x:c>
      <x:c r="D5" t="str">
        <x:v>Pending checks</x:v>
      </x:c>
      <x:c r="E5" t="n">
        <x:f>COUNTIF(D8:D22,"Pending")</x:f>
        <x:v>6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58" customHeight="1">
      <x:c r="A18" s="1" t="str">
        <x:v>EXIT</x:v>
      </x:c>
      <x:c r="B18" s="5" t="str">
        <x:v>Remote exit input and restoration</x:v>
      </x:c>
      <x:c r="C18" s="5" t="str">
        <x:v>Ocean</x:v>
      </x:c>
      <x:c r="D18" s="31" t="str">
        <x:v>Pending</x:v>
      </x:c>
      <x:c r="E18" s="29"/>
      <x:c r="F18" s="5" t="str">
        <x:v>Not measured</x:v>
      </x:c>
      <x:c r="G18" s="5"/>
      <x:c r="H18" s="5" t="str">
        <x:v>Local exit tested; remote input not wired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</x:sheetData>
  <x:dataValidations count="1">
    <x:dataValidation type="list" sqref="D8:D22">
      <x:formula1>"Verified,Pending"</x:formula1>
    </x:dataValidation>
  </x:dataValidations>
  <x:pageMargins left="0.7" right="0.7" top="0.75" bottom="0.75" header="0.3" footer="0.3"/>
</x:worksheet>
</file>