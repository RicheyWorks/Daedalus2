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5164453ceb43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ion" sheetId="1" r:id="R4c414024e56942e8"/>
    <x:sheet xmlns:r="http://schemas.openxmlformats.org/officeDocument/2006/relationships" name="Assets" sheetId="2" r:id="R65fe7dce99134910"/>
    <x:sheet xmlns:r="http://schemas.openxmlformats.org/officeDocument/2006/relationships" name="Mechanics" sheetId="3" r:id="R0d9fc5c8570047d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4">
    <x:font>
      <x:sz val="11"/>
      <x:name val="Carlito"/>
    </x:font>
    <x:font>
      <x:sz val="10"/>
      <x:name val="Arial"/>
    </x:font>
    <x:font>
      <x:b/>
      <x:sz val="14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24374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6c4a17605cd48bb" /><Relationship Type="http://schemas.openxmlformats.org/officeDocument/2006/relationships/theme" Target="/xl/theme/theme1.xml" Id="Rdbfeb255793c40bc" /><Relationship Type="http://schemas.openxmlformats.org/officeDocument/2006/relationships/sharedStrings" Target="/xl/sharedStrings.xml" Id="Rb998e6f1aa2f436c" /><Relationship Type="http://schemas.openxmlformats.org/officeDocument/2006/relationships/worksheet" Target="/xl/worksheets/sheet1.xml" Id="R4c414024e56942e8" /><Relationship Type="http://schemas.openxmlformats.org/officeDocument/2006/relationships/worksheet" Target="/xl/worksheets/sheet2.xml" Id="R65fe7dce99134910" /><Relationship Type="http://schemas.openxmlformats.org/officeDocument/2006/relationships/worksheet" Target="/xl/worksheets/sheet3.xml" Id="R0d9fc5c8570047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5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production tracker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2026-10-13. Counts track delivered art, not completed gameplay.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28" customHeight="1">
      <x:c r="A6" s="12" t="str">
        <x:v>Realm</x:v>
      </x:c>
      <x:c r="B6" s="12" t="str">
        <x:v>Art owner</x:v>
      </x:c>
      <x:c r="C6" s="12" t="str">
        <x:v>Cast target</x:v>
      </x:c>
      <x:c r="D6" s="12" t="str">
        <x:v>Cast built</x:v>
      </x:c>
      <x:c r="E6" s="12" t="str">
        <x:v>Validated</x:v>
      </x:c>
      <x:c r="F6" s="12" t="str">
        <x:v>Play proven</x:v>
      </x:c>
      <x:c r="G6" s="12" t="str">
        <x:v>Cast remaining</x:v>
      </x:c>
      <x:c r="H6" s="12" t="str">
        <x:v>Assets delivered</x:v>
      </x:c>
      <x:c r="I6" s="2"/>
      <x:c r="J6" s="2"/>
      <x:c r="K6" s="2"/>
      <x:c r="L6" s="2"/>
    </x:row>
    <x:row r="7" ht="28" customHeight="1">
      <x:c r="A7" s="2" t="str">
        <x:v>Labyrinth</x:v>
      </x:c>
      <x:c r="B7" s="2" t="str">
        <x:v>Sol / Codex</x:v>
      </x:c>
      <x:c r="C7" s="9" t="n">
        <x:v>35</x:v>
      </x:c>
      <x:c r="D7" s="6" t="n">
        <x:f>COUNTIFS(Assets!$C$6:$C$72,A7,Assets!$B$6:$B$72,"Character")</x:f>
        <x:v>35</x:v>
      </x:c>
      <x:c r="E7" s="6" t="n">
        <x:f>COUNTIFS(Assets!$C$6:$C$72,A7,Assets!$B$6:$B$72,"Character",Assets!$H$6:$H$72,"Validated")</x:f>
        <x:v>35</x:v>
      </x:c>
      <x:c r="F7" s="6" t="n">
        <x:f>COUNTIFS(Assets!$C$6:$C$72,A7,Assets!$B$6:$B$72,"Character",Assets!$I$6:$I$72,"Play proven")</x:f>
        <x:v>0</x:v>
      </x:c>
      <x:c r="G7" s="6" t="n">
        <x:f>C7-D7</x:f>
        <x:v>0</x:v>
      </x:c>
      <x:c r="H7" s="6" t="n">
        <x:f>COUNTIFS(Assets!$C$6:$C$72,A7)</x:f>
        <x:v>67</x:v>
      </x:c>
      <x:c r="I7" s="2"/>
      <x:c r="J7" s="2"/>
      <x:c r="K7" s="2"/>
      <x:c r="L7" s="2"/>
    </x:row>
    <x:row r="8" ht="28" customHeight="1">
      <x:c r="A8" s="2" t="str">
        <x:v>Gallery City</x:v>
      </x:c>
      <x:c r="B8" s="2" t="str">
        <x:v>Sol / Codex</x:v>
      </x:c>
      <x:c r="C8" s="8" t="n">
        <x:v>32</x:v>
      </x:c>
      <x:c r="D8" s="2" t="str">
        <x:v>Awaiting report</x:v>
      </x:c>
      <x:c r="E8" s="2" t="str">
        <x:v>Awaiting report</x:v>
      </x:c>
      <x:c r="F8" s="2" t="str">
        <x:v>Awaiting report</x:v>
      </x:c>
      <x:c r="G8" s="2" t="str">
        <x:v>Awaiting report</x:v>
      </x:c>
      <x:c r="H8" s="2" t="str">
        <x:v>Awaiting report</x:v>
      </x:c>
      <x:c r="I8" s="2"/>
      <x:c r="J8" s="2"/>
      <x:c r="K8" s="2"/>
      <x:c r="L8" s="2"/>
    </x:row>
    <x:row r="9" ht="28" customHeight="1">
      <x:c r="A9" s="2" t="str">
        <x:v>Portal Realm</x:v>
      </x:c>
      <x:c r="B9" s="2" t="str">
        <x:v>Sol / Codex</x:v>
      </x:c>
      <x:c r="C9" s="8" t="n">
        <x:v>32</x:v>
      </x:c>
      <x:c r="D9" s="2" t="str">
        <x:v>Awaiting report</x:v>
      </x:c>
      <x:c r="E9" s="2" t="str">
        <x:v>Awaiting report</x:v>
      </x:c>
      <x:c r="F9" s="2" t="str">
        <x:v>Awaiting report</x:v>
      </x:c>
      <x:c r="G9" s="2" t="str">
        <x:v>Awaiting report</x:v>
      </x:c>
      <x:c r="H9" s="2" t="str">
        <x:v>Awaiting report</x:v>
      </x:c>
      <x:c r="I9" s="2"/>
      <x:c r="J9" s="2"/>
      <x:c r="K9" s="2"/>
      <x:c r="L9" s="2"/>
    </x:row>
    <x:row r="10" ht="28" customHeight="1">
      <x:c r="A10" s="2" t="str">
        <x:v>Brick Realm</x:v>
      </x:c>
      <x:c r="B10" s="2" t="str">
        <x:v>Sol / Codex</x:v>
      </x:c>
      <x:c r="C10" s="8" t="n">
        <x:v>32</x:v>
      </x:c>
      <x:c r="D10" s="2" t="str">
        <x:v>Awaiting report</x:v>
      </x:c>
      <x:c r="E10" s="2" t="str">
        <x:v>Awaiting report</x:v>
      </x:c>
      <x:c r="F10" s="2" t="str">
        <x:v>Awaiting report</x:v>
      </x:c>
      <x:c r="G10" s="2" t="str">
        <x:v>Awaiting report</x:v>
      </x:c>
      <x:c r="H10" s="2" t="str">
        <x:v>Awaiting report</x:v>
      </x:c>
      <x:c r="I10" s="2"/>
      <x:c r="J10" s="2"/>
      <x:c r="K10" s="2"/>
      <x:c r="L10" s="2"/>
    </x:row>
    <x:row r="11" ht="28" customHeight="1">
      <x:c r="A11" s="2" t="str">
        <x:v>The Parcels</x:v>
      </x:c>
      <x:c r="B11" s="2" t="str">
        <x:v>Sol / Codex</x:v>
      </x:c>
      <x:c r="C11" s="8" t="n">
        <x:v>32</x:v>
      </x:c>
      <x:c r="D11" s="2" t="str">
        <x:v>Awaiting report</x:v>
      </x:c>
      <x:c r="E11" s="2" t="str">
        <x:v>Awaiting report</x:v>
      </x:c>
      <x:c r="F11" s="2" t="str">
        <x:v>Awaiting report</x:v>
      </x:c>
      <x:c r="G11" s="2" t="str">
        <x:v>Awaiting report</x:v>
      </x:c>
      <x:c r="H11" s="2" t="str">
        <x:v>Awaiting report</x:v>
      </x:c>
      <x:c r="I11" s="2"/>
      <x:c r="J11" s="2"/>
      <x:c r="K11" s="2"/>
      <x:c r="L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</x:row>
    <x:row r="14">
      <x:c r="A14" s="2" t="str">
        <x:v>Delivered triangles</x:v>
      </x:c>
      <x:c r="B14" s="6" t="n">
        <x:f>SUM(Assets!E6:E72)</x:f>
        <x:v>45210</x:v>
      </x:c>
      <x:c r="C14" s="2"/>
      <x:c r="D14" s="2"/>
      <x:c r="E14" s="2"/>
      <x:c r="F14" s="2"/>
      <x:c r="G14" s="2"/>
      <x:c r="H14" s="2"/>
      <x:c r="I14" s="2"/>
      <x:c r="J14" s="2"/>
      <x:c r="K14" s="2"/>
      <x:c r="L14" s="2"/>
    </x:row>
    <x:row r="15">
      <x:c r="A15" s="2" t="str">
        <x:v>Props delivered</x:v>
      </x:c>
      <x:c r="B15" s="6" t="n">
        <x:f>COUNTIFS(Assets!B6:B72,"Prop")</x:f>
        <x:v>32</x:v>
      </x:c>
      <x:c r="C15" s="2"/>
      <x:c r="D15" s="2"/>
      <x:c r="E15" s="2"/>
      <x:c r="F15" s="2"/>
      <x:c r="G15" s="2"/>
      <x:c r="H15" s="2"/>
      <x:c r="I15" s="2"/>
      <x:c r="J15" s="2"/>
      <x:c r="K15" s="2"/>
      <x:c r="L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</x:row>
    <x:row r="17">
      <x:c r="A17" s="2" t="str">
        <x:v>Other realm counts await buildout. Cast targets follow REALM-CASTS; built Labyrinth prototype roster includes 13 humanoids and 22 creatures.</x:v>
      </x:c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5" hidden="0" customWidth="1"/>
    <x:col min="2" max="2" width="14" hidden="0" customWidth="1"/>
    <x:col min="3" max="3" width="15" hidden="0" customWidth="1"/>
    <x:col min="4" max="4" width="47" hidden="0" customWidth="1"/>
    <x:col min="5" max="5" width="13" hidden="0" customWidth="1"/>
    <x:col min="6" max="6" width="27" hidden="0" customWidth="1"/>
    <x:col min="7" max="7" width="18" hidden="0" customWidth="1"/>
    <x:col min="8" max="8" width="16" hidden="0" customWidth="1"/>
    <x:col min="9" max="9" width="18" hidden="0" customWidth="1"/>
    <x:col min="10" max="10" width="24" hidden="0" customWidth="1"/>
    <x:col min="11" max="11" width="51" hidden="0" customWidth="1"/>
    <x:col min="12" max="12" width="7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Labyrinth asset register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Source: exported manifests and actual GLB validation, 2026-10-13. Prototype art; Unreal acceptance pending.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26" customHeight="1">
      <x:c r="A5" s="12" t="str">
        <x:v>Asset ID</x:v>
      </x:c>
      <x:c r="B5" s="12" t="str">
        <x:v>Kind</x:v>
      </x:c>
      <x:c r="C5" s="12" t="str">
        <x:v>Realm</x:v>
      </x:c>
      <x:c r="D5" s="12" t="str">
        <x:v>Gameplay role</x:v>
      </x:c>
      <x:c r="E5" s="12" t="str">
        <x:v>Triangles</x:v>
      </x:c>
      <x:c r="F5" s="12" t="str">
        <x:v>Rig</x:v>
      </x:c>
      <x:c r="G5" s="12" t="str">
        <x:v>Clips</x:v>
      </x:c>
      <x:c r="H5" s="12" t="str">
        <x:v>Export</x:v>
      </x:c>
      <x:c r="I5" s="12" t="str">
        <x:v>Unreal</x:v>
      </x:c>
      <x:c r="J5" s="12" t="str">
        <x:v>Mechanic</x:v>
      </x:c>
      <x:c r="K5" s="12" t="str">
        <x:v>File</x:v>
      </x:c>
      <x:c r="L5" s="12" t="str">
        <x:v>SHA256</x:v>
      </x:c>
    </x:row>
    <x:row r="6" ht="38" customHeight="1">
      <x:c r="A6" s="2" t="str">
        <x:v>Mob_Lab_Wayfinder</x:v>
      </x:c>
      <x:c r="B6" s="2" t="str">
        <x:v>Character</x:v>
      </x:c>
      <x:c r="C6" s="2" t="str">
        <x:v>Labyrinth</x:v>
      </x:c>
      <x:c r="D6" s="4" t="str">
        <x:v>Hero: thread, chalk and compass</x:v>
      </x:c>
      <x:c r="E6" s="6" t="n">
        <x:v>1424</x:v>
      </x:c>
      <x:c r="F6" s="2" t="str">
        <x:v>LabyrinthHumanoidV1</x:v>
      </x:c>
      <x:c r="G6" s="4" t="str">
        <x:v>Idle, Walk</x:v>
      </x:c>
      <x:c r="H6" s="2" t="str">
        <x:v>Validated</x:v>
      </x:c>
      <x:c r="I6" s="2" t="str">
        <x:v>Pending</x:v>
      </x:c>
      <x:c r="J6" s="2" t="str">
        <x:v>Binding pending</x:v>
      </x:c>
      <x:c r="K6" s="2" t="str">
        <x:v>humanoids/Mob_Lab_Wayfinder.glb</x:v>
      </x:c>
      <x:c r="L6" s="2" t="str">
        <x:v>23a0dbf916f8072fd723c07843f6c951b9db14de2b3766118159b5970ec0c39a</x:v>
      </x:c>
    </x:row>
    <x:row r="7" ht="38" customHeight="1">
      <x:c r="A7" s="2" t="str">
        <x:v>Mob_Lab_ThreadSpinnerAri</x:v>
      </x:c>
      <x:c r="B7" s="2" t="str">
        <x:v>Character</x:v>
      </x:c>
      <x:c r="C7" s="2" t="str">
        <x:v>Labyrinth</x:v>
      </x:c>
      <x:c r="D7" s="4" t="str">
        <x:v>NPC: thread supply and path-marking quests</x:v>
      </x:c>
      <x:c r="E7" s="6" t="n">
        <x:v>1348</x:v>
      </x:c>
      <x:c r="F7" s="2" t="str">
        <x:v>LabyrinthHumanoidV1</x:v>
      </x:c>
      <x:c r="G7" s="4" t="str">
        <x:v>Idle, Walk</x:v>
      </x:c>
      <x:c r="H7" s="2" t="str">
        <x:v>Validated</x:v>
      </x:c>
      <x:c r="I7" s="2" t="str">
        <x:v>Pending</x:v>
      </x:c>
      <x:c r="J7" s="2" t="str">
        <x:v>Binding pending</x:v>
      </x:c>
      <x:c r="K7" s="2" t="str">
        <x:v>humanoids/Mob_Lab_ThreadSpinnerAri.glb</x:v>
      </x:c>
      <x:c r="L7" s="2" t="str">
        <x:v>bcfedd7548a969cab174803e6797649ab61f98b15663e43a9df14e991473377c</x:v>
      </x:c>
    </x:row>
    <x:row r="8" ht="38" customHeight="1">
      <x:c r="A8" s="2" t="str">
        <x:v>Mob_Lab_LanternKeeper</x:v>
      </x:c>
      <x:c r="B8" s="2" t="str">
        <x:v>Character</x:v>
      </x:c>
      <x:c r="C8" s="2" t="str">
        <x:v>Labyrinth</x:v>
      </x:c>
      <x:c r="D8" s="4" t="str">
        <x:v>NPC: light supply and route guidance</x:v>
      </x:c>
      <x:c r="E8" s="6" t="n">
        <x:v>1462</x:v>
      </x:c>
      <x:c r="F8" s="2" t="str">
        <x:v>LabyrinthHumanoidV1</x:v>
      </x:c>
      <x:c r="G8" s="4" t="str">
        <x:v>Idle, Walk</x:v>
      </x:c>
      <x:c r="H8" s="2" t="str">
        <x:v>Validated</x:v>
      </x:c>
      <x:c r="I8" s="2" t="str">
        <x:v>Pending</x:v>
      </x:c>
      <x:c r="J8" s="2" t="str">
        <x:v>Binding pending</x:v>
      </x:c>
      <x:c r="K8" s="2" t="str">
        <x:v>humanoids/Mob_Lab_LanternKeeper.glb</x:v>
      </x:c>
      <x:c r="L8" s="2" t="str">
        <x:v>774f490f86c68f31e54934e5ee6942c229a18901012df95cb0f4d723403e2504</x:v>
      </x:c>
    </x:row>
    <x:row r="9" ht="38" customHeight="1">
      <x:c r="A9" s="2" t="str">
        <x:v>Mob_Lab_Wallwright</x:v>
      </x:c>
      <x:c r="B9" s="2" t="str">
        <x:v>Character</x:v>
      </x:c>
      <x:c r="C9" s="2" t="str">
        <x:v>Labyrinth</x:v>
      </x:c>
      <x:c r="D9" s="4" t="str">
        <x:v>NPC: maze repairs and wall routes</x:v>
      </x:c>
      <x:c r="E9" s="6" t="n">
        <x:v>1160</x:v>
      </x:c>
      <x:c r="F9" s="2" t="str">
        <x:v>LabyrinthHumanoidV1</x:v>
      </x:c>
      <x:c r="G9" s="4" t="str">
        <x:v>Idle, Walk</x:v>
      </x:c>
      <x:c r="H9" s="2" t="str">
        <x:v>Validated</x:v>
      </x:c>
      <x:c r="I9" s="2" t="str">
        <x:v>Pending</x:v>
      </x:c>
      <x:c r="J9" s="2" t="str">
        <x:v>Binding pending</x:v>
      </x:c>
      <x:c r="K9" s="2" t="str">
        <x:v>humanoids/Mob_Lab_Wallwright.glb</x:v>
      </x:c>
      <x:c r="L9" s="2" t="str">
        <x:v>807e1be254f08222dd0705e08ac6ba04f47162de9d9d6acc41ecc6d49f7482a2</x:v>
      </x:c>
    </x:row>
    <x:row r="10" ht="38" customHeight="1">
      <x:c r="A10" s="2" t="str">
        <x:v>Mob_Lab_LostCartographer</x:v>
      </x:c>
      <x:c r="B10" s="2" t="str">
        <x:v>Character</x:v>
      </x:c>
      <x:c r="C10" s="2" t="str">
        <x:v>Labyrinth</x:v>
      </x:c>
      <x:c r="D10" s="4" t="str">
        <x:v>NPC: partial maps and survey quests</x:v>
      </x:c>
      <x:c r="E10" s="6" t="n">
        <x:v>1152</x:v>
      </x:c>
      <x:c r="F10" s="2" t="str">
        <x:v>LabyrinthHumanoidV1</x:v>
      </x:c>
      <x:c r="G10" s="4" t="str">
        <x:v>Idle, Walk</x:v>
      </x:c>
      <x:c r="H10" s="2" t="str">
        <x:v>Validated</x:v>
      </x:c>
      <x:c r="I10" s="2" t="str">
        <x:v>Pending</x:v>
      </x:c>
      <x:c r="J10" s="2" t="str">
        <x:v>Binding pending</x:v>
      </x:c>
      <x:c r="K10" s="2" t="str">
        <x:v>humanoids/Mob_Lab_LostCartographer.glb</x:v>
      </x:c>
      <x:c r="L10" s="2" t="str">
        <x:v>28b68b8bd6603488c14d3cd67e67efde1aa118f0f8e65c409c03108a18d63270</x:v>
      </x:c>
    </x:row>
    <x:row r="11" ht="38" customHeight="1">
      <x:c r="A11" s="2" t="str">
        <x:v>Mob_Lab_EchoHermit</x:v>
      </x:c>
      <x:c r="B11" s="2" t="str">
        <x:v>Character</x:v>
      </x:c>
      <x:c r="C11" s="2" t="str">
        <x:v>Labyrinth</x:v>
      </x:c>
      <x:c r="D11" s="4" t="str">
        <x:v>NPC: dead-end echo hints</x:v>
      </x:c>
      <x:c r="E11" s="6" t="n">
        <x:v>1238</x:v>
      </x:c>
      <x:c r="F11" s="2" t="str">
        <x:v>LabyrinthHumanoidV1</x:v>
      </x:c>
      <x:c r="G11" s="4" t="str">
        <x:v>Idle, Walk</x:v>
      </x:c>
      <x:c r="H11" s="2" t="str">
        <x:v>Validated</x:v>
      </x:c>
      <x:c r="I11" s="2" t="str">
        <x:v>Pending</x:v>
      </x:c>
      <x:c r="J11" s="2" t="str">
        <x:v>Binding pending</x:v>
      </x:c>
      <x:c r="K11" s="2" t="str">
        <x:v>humanoids/Mob_Lab_EchoHermit.glb</x:v>
      </x:c>
      <x:c r="L11" s="2" t="str">
        <x:v>69de9cfae1c9ad5cd9cb0f06058cd94d6c77973d0ef4c73ac99601ccc14c703e</x:v>
      </x:c>
    </x:row>
    <x:row r="12" ht="38" customHeight="1">
      <x:c r="A12" s="2" t="str">
        <x:v>Mob_Lab_GateRiddler</x:v>
      </x:c>
      <x:c r="B12" s="2" t="str">
        <x:v>Character</x:v>
      </x:c>
      <x:c r="C12" s="2" t="str">
        <x:v>Labyrinth</x:v>
      </x:c>
      <x:c r="D12" s="4" t="str">
        <x:v>NPC: riddle gates</x:v>
      </x:c>
      <x:c r="E12" s="6" t="n">
        <x:v>1116</x:v>
      </x:c>
      <x:c r="F12" s="2" t="str">
        <x:v>LabyrinthHumanoidV1</x:v>
      </x:c>
      <x:c r="G12" s="4" t="str">
        <x:v>Idle, Walk</x:v>
      </x:c>
      <x:c r="H12" s="2" t="str">
        <x:v>Validated</x:v>
      </x:c>
      <x:c r="I12" s="2" t="str">
        <x:v>Pending</x:v>
      </x:c>
      <x:c r="J12" s="2" t="str">
        <x:v>Binding pending</x:v>
      </x:c>
      <x:c r="K12" s="2" t="str">
        <x:v>humanoids/Mob_Lab_GateRiddler.glb</x:v>
      </x:c>
      <x:c r="L12" s="2" t="str">
        <x:v>0f7909b381c616f22fdeb669b4e451a590576e9889f771a38748522e7c3a907c</x:v>
      </x:c>
    </x:row>
    <x:row r="13" ht="38" customHeight="1">
      <x:c r="A13" s="2" t="str">
        <x:v>Mob_Lab_StriderTamerOona</x:v>
      </x:c>
      <x:c r="B13" s="2" t="str">
        <x:v>Character</x:v>
      </x:c>
      <x:c r="C13" s="2" t="str">
        <x:v>Labyrinth</x:v>
      </x:c>
      <x:c r="D13" s="4" t="str">
        <x:v>NPC: sky-strider care and rides</x:v>
      </x:c>
      <x:c r="E13" s="6" t="n">
        <x:v>1282</x:v>
      </x:c>
      <x:c r="F13" s="2" t="str">
        <x:v>LabyrinthHumanoidV1</x:v>
      </x:c>
      <x:c r="G13" s="4" t="str">
        <x:v>Idle, Walk</x:v>
      </x:c>
      <x:c r="H13" s="2" t="str">
        <x:v>Validated</x:v>
      </x:c>
      <x:c r="I13" s="2" t="str">
        <x:v>Pending</x:v>
      </x:c>
      <x:c r="J13" s="2" t="str">
        <x:v>Binding pending</x:v>
      </x:c>
      <x:c r="K13" s="2" t="str">
        <x:v>humanoids/Mob_Lab_StriderTamerOona.glb</x:v>
      </x:c>
      <x:c r="L13" s="2" t="str">
        <x:v>ceddc141b60c94a164e5f27036c01ea11745325d175024146782a757d54c6f62</x:v>
      </x:c>
    </x:row>
    <x:row r="14" ht="38" customHeight="1">
      <x:c r="A14" s="2" t="str">
        <x:v>Mob_Lab_StatueGardener</x:v>
      </x:c>
      <x:c r="B14" s="2" t="str">
        <x:v>Character</x:v>
      </x:c>
      <x:c r="C14" s="2" t="str">
        <x:v>Labyrinth</x:v>
      </x:c>
      <x:c r="D14" s="4" t="str">
        <x:v>NPC: hedge growth and recovery</x:v>
      </x:c>
      <x:c r="E14" s="6" t="n">
        <x:v>1312</x:v>
      </x:c>
      <x:c r="F14" s="2" t="str">
        <x:v>LabyrinthHumanoidV1</x:v>
      </x:c>
      <x:c r="G14" s="4" t="str">
        <x:v>Idle, Walk</x:v>
      </x:c>
      <x:c r="H14" s="2" t="str">
        <x:v>Validated</x:v>
      </x:c>
      <x:c r="I14" s="2" t="str">
        <x:v>Pending</x:v>
      </x:c>
      <x:c r="J14" s="2" t="str">
        <x:v>Binding pending</x:v>
      </x:c>
      <x:c r="K14" s="2" t="str">
        <x:v>humanoids/Mob_Lab_StatueGardener.glb</x:v>
      </x:c>
      <x:c r="L14" s="2" t="str">
        <x:v>f82d5bd015001655e2622d0245d3c950448287860d431e7c0cee976132d0982c</x:v>
      </x:c>
    </x:row>
    <x:row r="15" ht="38" customHeight="1">
      <x:c r="A15" s="2" t="str">
        <x:v>Mob_Lab_HerdWardenTobi</x:v>
      </x:c>
      <x:c r="B15" s="2" t="str">
        <x:v>Character</x:v>
      </x:c>
      <x:c r="C15" s="2" t="str">
        <x:v>Labyrinth</x:v>
      </x:c>
      <x:c r="D15" s="4" t="str">
        <x:v>NPC: Hornback care and calming</x:v>
      </x:c>
      <x:c r="E15" s="6" t="n">
        <x:v>1300</x:v>
      </x:c>
      <x:c r="F15" s="2" t="str">
        <x:v>LabyrinthHumanoidV1</x:v>
      </x:c>
      <x:c r="G15" s="4" t="str">
        <x:v>Idle, Walk</x:v>
      </x:c>
      <x:c r="H15" s="2" t="str">
        <x:v>Validated</x:v>
      </x:c>
      <x:c r="I15" s="2" t="str">
        <x:v>Pending</x:v>
      </x:c>
      <x:c r="J15" s="2" t="str">
        <x:v>Binding pending</x:v>
      </x:c>
      <x:c r="K15" s="2" t="str">
        <x:v>humanoids/Mob_Lab_HerdWardenTobi.glb</x:v>
      </x:c>
      <x:c r="L15" s="2" t="str">
        <x:v>0445e89efeda53e07862e404a349012a08820e33397ef75f530914fea930259c</x:v>
      </x:c>
    </x:row>
    <x:row r="16" ht="38" customHeight="1">
      <x:c r="A16" s="2" t="str">
        <x:v>Mob_Lab_Trapsmith</x:v>
      </x:c>
      <x:c r="B16" s="2" t="str">
        <x:v>Character</x:v>
      </x:c>
      <x:c r="C16" s="2" t="str">
        <x:v>Labyrinth</x:v>
      </x:c>
      <x:c r="D16" s="4" t="str">
        <x:v>NPC: trap detection and disarming</x:v>
      </x:c>
      <x:c r="E16" s="6" t="n">
        <x:v>1212</x:v>
      </x:c>
      <x:c r="F16" s="2" t="str">
        <x:v>LabyrinthHumanoidV1</x:v>
      </x:c>
      <x:c r="G16" s="4" t="str">
        <x:v>Idle, Walk</x:v>
      </x:c>
      <x:c r="H16" s="2" t="str">
        <x:v>Validated</x:v>
      </x:c>
      <x:c r="I16" s="2" t="str">
        <x:v>Pending</x:v>
      </x:c>
      <x:c r="J16" s="2" t="str">
        <x:v>Binding pending</x:v>
      </x:c>
      <x:c r="K16" s="2" t="str">
        <x:v>humanoids/Mob_Lab_Trapsmith.glb</x:v>
      </x:c>
      <x:c r="L16" s="2" t="str">
        <x:v>613a5ec457fd79cf2fc72cc5c2359a288eb599e6cce638475056ea060c2a593d</x:v>
      </x:c>
    </x:row>
    <x:row r="17" ht="38" customHeight="1">
      <x:c r="A17" s="2" t="str">
        <x:v>Mob_Lab_TwinDoors</x:v>
      </x:c>
      <x:c r="B17" s="2" t="str">
        <x:v>Character</x:v>
      </x:c>
      <x:c r="C17" s="2" t="str">
        <x:v>Labyrinth</x:v>
      </x:c>
      <x:c r="D17" s="4" t="str">
        <x:v>NPC: paired truth and lie puzzle</x:v>
      </x:c>
      <x:c r="E17" s="6" t="n">
        <x:v>1508</x:v>
      </x:c>
      <x:c r="F17" s="2" t="str">
        <x:v>LabyrinthHumanoidV1</x:v>
      </x:c>
      <x:c r="G17" s="4" t="str">
        <x:v>Idle, Walk</x:v>
      </x:c>
      <x:c r="H17" s="2" t="str">
        <x:v>Validated</x:v>
      </x:c>
      <x:c r="I17" s="2" t="str">
        <x:v>Pending</x:v>
      </x:c>
      <x:c r="J17" s="2" t="str">
        <x:v>Binding pending</x:v>
      </x:c>
      <x:c r="K17" s="2" t="str">
        <x:v>humanoids/Mob_Lab_TwinDoors.glb</x:v>
      </x:c>
      <x:c r="L17" s="2" t="str">
        <x:v>fe35fbe638c9885924d82a8f113731acb6f8d96fff6632d10e24b19984411f20</x:v>
      </x:c>
    </x:row>
    <x:row r="18" ht="38" customHeight="1">
      <x:c r="A18" s="2" t="str">
        <x:v>Mob_Lab_ArchitectApprentice</x:v>
      </x:c>
      <x:c r="B18" s="2" t="str">
        <x:v>Character</x:v>
      </x:c>
      <x:c r="C18" s="2" t="str">
        <x:v>Labyrinth</x:v>
      </x:c>
      <x:c r="D18" s="4" t="str">
        <x:v>NPC: lost construction records</x:v>
      </x:c>
      <x:c r="E18" s="6" t="n">
        <x:v>1152</x:v>
      </x:c>
      <x:c r="F18" s="2" t="str">
        <x:v>LabyrinthHumanoidV1</x:v>
      </x:c>
      <x:c r="G18" s="4" t="str">
        <x:v>Idle, Walk</x:v>
      </x:c>
      <x:c r="H18" s="2" t="str">
        <x:v>Validated</x:v>
      </x:c>
      <x:c r="I18" s="2" t="str">
        <x:v>Pending</x:v>
      </x:c>
      <x:c r="J18" s="2" t="str">
        <x:v>Binding pending</x:v>
      </x:c>
      <x:c r="K18" s="2" t="str">
        <x:v>humanoids/Mob_Lab_ArchitectApprentice.glb</x:v>
      </x:c>
      <x:c r="L18" s="2" t="str">
        <x:v>9cb6d95a44f5a31f73923862e90636b89cd95eb9438977c22e58a6b67ba6473e</x:v>
      </x:c>
    </x:row>
    <x:row r="19" ht="38" customHeight="1">
      <x:c r="A19" s="2" t="str">
        <x:v>Mob_Lab_CornerRat</x:v>
      </x:c>
      <x:c r="B19" s="2" t="str">
        <x:v>Character</x:v>
      </x:c>
      <x:c r="C19" s="2" t="str">
        <x:v>Labyrinth</x:v>
      </x:c>
      <x:c r="D19" s="4" t="str">
        <x:v>Common: scavenger in corners</x:v>
      </x:c>
      <x:c r="E19" s="6" t="n">
        <x:v>732</x:v>
      </x:c>
      <x:c r="F19" s="2" t="str">
        <x:v>LabyrinthCreatureV1</x:v>
      </x:c>
      <x:c r="G19" s="4" t="str">
        <x:v>Idle, Move</x:v>
      </x:c>
      <x:c r="H19" s="2" t="str">
        <x:v>Validated</x:v>
      </x:c>
      <x:c r="I19" s="2" t="str">
        <x:v>Pending</x:v>
      </x:c>
      <x:c r="J19" s="2" t="str">
        <x:v>Binding pending</x:v>
      </x:c>
      <x:c r="K19" s="2" t="str">
        <x:v>creatures/Mob_Lab_CornerRat.glb</x:v>
      </x:c>
      <x:c r="L19" s="2" t="str">
        <x:v>061590277d1afc31434c5a7143a345748491c497824de28d4f82366b5f56d15b</x:v>
      </x:c>
    </x:row>
    <x:row r="20" ht="38" customHeight="1">
      <x:c r="A20" s="2" t="str">
        <x:v>Mob_Lab_ChalkEater</x:v>
      </x:c>
      <x:c r="B20" s="2" t="str">
        <x:v>Character</x:v>
      </x:c>
      <x:c r="C20" s="2" t="str">
        <x:v>Labyrinth</x:v>
      </x:c>
      <x:c r="D20" s="4" t="str">
        <x:v>Common: consumes path chalk</x:v>
      </x:c>
      <x:c r="E20" s="6" t="n">
        <x:v>1004</x:v>
      </x:c>
      <x:c r="F20" s="2" t="str">
        <x:v>LabyrinthCreatureV1</x:v>
      </x:c>
      <x:c r="G20" s="4" t="str">
        <x:v>Idle, Move</x:v>
      </x:c>
      <x:c r="H20" s="2" t="str">
        <x:v>Validated</x:v>
      </x:c>
      <x:c r="I20" s="2" t="str">
        <x:v>Pending</x:v>
      </x:c>
      <x:c r="J20" s="2" t="str">
        <x:v>Binding pending</x:v>
      </x:c>
      <x:c r="K20" s="2" t="str">
        <x:v>creatures/Mob_Lab_ChalkEater.glb</x:v>
      </x:c>
      <x:c r="L20" s="2" t="str">
        <x:v>14206299ddfffc459398e45667736621f69113211ae08e787407740fde4f5485</x:v>
      </x:c>
    </x:row>
    <x:row r="21" ht="38" customHeight="1">
      <x:c r="A21" s="2" t="str">
        <x:v>Mob_Lab_GlowGrub</x:v>
      </x:c>
      <x:c r="B21" s="2" t="str">
        <x:v>Character</x:v>
      </x:c>
      <x:c r="C21" s="2" t="str">
        <x:v>Labyrinth</x:v>
      </x:c>
      <x:c r="D21" s="4" t="str">
        <x:v>Common: living light trail</x:v>
      </x:c>
      <x:c r="E21" s="6" t="n">
        <x:v>1224</x:v>
      </x:c>
      <x:c r="F21" s="2" t="str">
        <x:v>LabyrinthCreatureV1</x:v>
      </x:c>
      <x:c r="G21" s="4" t="str">
        <x:v>Idle, Move</x:v>
      </x:c>
      <x:c r="H21" s="2" t="str">
        <x:v>Validated</x:v>
      </x:c>
      <x:c r="I21" s="2" t="str">
        <x:v>Pending</x:v>
      </x:c>
      <x:c r="J21" s="2" t="str">
        <x:v>Binding pending</x:v>
      </x:c>
      <x:c r="K21" s="2" t="str">
        <x:v>creatures/Mob_Lab_GlowGrub.glb</x:v>
      </x:c>
      <x:c r="L21" s="2" t="str">
        <x:v>c51f441ec25c06876867d1c779ed520c16a1ce416c1daaec8b305d95369d79a2</x:v>
      </x:c>
    </x:row>
    <x:row r="22" ht="38" customHeight="1">
      <x:c r="A22" s="2" t="str">
        <x:v>Mob_Lab_HedgeStalker</x:v>
      </x:c>
      <x:c r="B22" s="2" t="str">
        <x:v>Character</x:v>
      </x:c>
      <x:c r="C22" s="2" t="str">
        <x:v>Labyrinth</x:v>
      </x:c>
      <x:c r="D22" s="4" t="str">
        <x:v>Uncommon: hedge ambush</x:v>
      </x:c>
      <x:c r="E22" s="6" t="n">
        <x:v>792</x:v>
      </x:c>
      <x:c r="F22" s="2" t="str">
        <x:v>LabyrinthCreatureV1</x:v>
      </x:c>
      <x:c r="G22" s="4" t="str">
        <x:v>Idle, Move</x:v>
      </x:c>
      <x:c r="H22" s="2" t="str">
        <x:v>Validated</x:v>
      </x:c>
      <x:c r="I22" s="2" t="str">
        <x:v>Pending</x:v>
      </x:c>
      <x:c r="J22" s="2" t="str">
        <x:v>Binding pending</x:v>
      </x:c>
      <x:c r="K22" s="2" t="str">
        <x:v>creatures/Mob_Lab_HedgeStalker.glb</x:v>
      </x:c>
      <x:c r="L22" s="2" t="str">
        <x:v>566fbfff07cce28dd0c095a8673b129d10abec94b1bce553595ab76425cf0ee4</x:v>
      </x:c>
    </x:row>
    <x:row r="23" ht="38" customHeight="1">
      <x:c r="A23" s="2" t="str">
        <x:v>Mob_Lab_MirrorBat</x:v>
      </x:c>
      <x:c r="B23" s="2" t="str">
        <x:v>Character</x:v>
      </x:c>
      <x:c r="C23" s="2" t="str">
        <x:v>Labyrinth</x:v>
      </x:c>
      <x:c r="D23" s="4" t="str">
        <x:v>Uncommon: misleading reflections</x:v>
      </x:c>
      <x:c r="E23" s="6" t="n">
        <x:v>976</x:v>
      </x:c>
      <x:c r="F23" s="2" t="str">
        <x:v>LabyrinthCreatureV1</x:v>
      </x:c>
      <x:c r="G23" s="4" t="str">
        <x:v>Idle, Move</x:v>
      </x:c>
      <x:c r="H23" s="2" t="str">
        <x:v>Validated</x:v>
      </x:c>
      <x:c r="I23" s="2" t="str">
        <x:v>Pending</x:v>
      </x:c>
      <x:c r="J23" s="2" t="str">
        <x:v>Binding pending</x:v>
      </x:c>
      <x:c r="K23" s="2" t="str">
        <x:v>creatures/Mob_Lab_MirrorBat.glb</x:v>
      </x:c>
      <x:c r="L23" s="2" t="str">
        <x:v>0cff5adc884981fc6280ee6a334932bb53d29894f89736efb6303a2d0a39925a</x:v>
      </x:c>
    </x:row>
    <x:row r="24" ht="38" customHeight="1">
      <x:c r="A24" s="2" t="str">
        <x:v>Mob_Lab_WallMimic</x:v>
      </x:c>
      <x:c r="B24" s="2" t="str">
        <x:v>Character</x:v>
      </x:c>
      <x:c r="C24" s="2" t="str">
        <x:v>Labyrinth</x:v>
      </x:c>
      <x:c r="D24" s="4" t="str">
        <x:v>Rare: false doorway</x:v>
      </x:c>
      <x:c r="E24" s="6" t="n">
        <x:v>372</x:v>
      </x:c>
      <x:c r="F24" s="2" t="str">
        <x:v>LabyrinthCreatureV1</x:v>
      </x:c>
      <x:c r="G24" s="4" t="str">
        <x:v>Idle, Move</x:v>
      </x:c>
      <x:c r="H24" s="2" t="str">
        <x:v>Validated</x:v>
      </x:c>
      <x:c r="I24" s="2" t="str">
        <x:v>Pending</x:v>
      </x:c>
      <x:c r="J24" s="2" t="str">
        <x:v>Binding pending</x:v>
      </x:c>
      <x:c r="K24" s="2" t="str">
        <x:v>creatures/Mob_Lab_WallMimic.glb</x:v>
      </x:c>
      <x:c r="L24" s="2" t="str">
        <x:v>717df98ea67bd85e114334848a766d4150d108c094821a19940d38ed3b1de0dd</x:v>
      </x:c>
    </x:row>
    <x:row r="25" ht="38" customHeight="1">
      <x:c r="A25" s="2" t="str">
        <x:v>Mob_Lab_ThreadSpider</x:v>
      </x:c>
      <x:c r="B25" s="2" t="str">
        <x:v>Character</x:v>
      </x:c>
      <x:c r="C25" s="2" t="str">
        <x:v>Labyrinth</x:v>
      </x:c>
      <x:c r="D25" s="4" t="str">
        <x:v>Rare: cuts marked thread</x:v>
      </x:c>
      <x:c r="E25" s="6" t="n">
        <x:v>1032</x:v>
      </x:c>
      <x:c r="F25" s="2" t="str">
        <x:v>LabyrinthCreatureV1</x:v>
      </x:c>
      <x:c r="G25" s="4" t="str">
        <x:v>Idle, Move</x:v>
      </x:c>
      <x:c r="H25" s="2" t="str">
        <x:v>Validated</x:v>
      </x:c>
      <x:c r="I25" s="2" t="str">
        <x:v>Pending</x:v>
      </x:c>
      <x:c r="J25" s="2" t="str">
        <x:v>Binding pending</x:v>
      </x:c>
      <x:c r="K25" s="2" t="str">
        <x:v>creatures/Mob_Lab_ThreadSpider.glb</x:v>
      </x:c>
      <x:c r="L25" s="2" t="str">
        <x:v>6bf20b547f0ec612aff41fd674cf6991bf2d6b176acf98c535d00001c54245e5</x:v>
      </x:c>
    </x:row>
    <x:row r="26" ht="38" customHeight="1">
      <x:c r="A26" s="2" t="str">
        <x:v>Mob_Lab_HornbackBull</x:v>
      </x:c>
      <x:c r="B26" s="2" t="str">
        <x:v>Character</x:v>
      </x:c>
      <x:c r="C26" s="2" t="str">
        <x:v>Labyrinth</x:v>
      </x:c>
      <x:c r="D26" s="4" t="str">
        <x:v>Elite: corridor stampede</x:v>
      </x:c>
      <x:c r="E26" s="6" t="n">
        <x:v>776</x:v>
      </x:c>
      <x:c r="F26" s="2" t="str">
        <x:v>LabyrinthCreatureV1</x:v>
      </x:c>
      <x:c r="G26" s="4" t="str">
        <x:v>Idle, Move</x:v>
      </x:c>
      <x:c r="H26" s="2" t="str">
        <x:v>Validated</x:v>
      </x:c>
      <x:c r="I26" s="2" t="str">
        <x:v>Pending</x:v>
      </x:c>
      <x:c r="J26" s="2" t="str">
        <x:v>Binding pending</x:v>
      </x:c>
      <x:c r="K26" s="2" t="str">
        <x:v>creatures/Mob_Lab_HornbackBull.glb</x:v>
      </x:c>
      <x:c r="L26" s="2" t="str">
        <x:v>ec0fe6b272f4703405495685b33a0693209b7b6eb96bdb6f794ba2095c51a4d4</x:v>
      </x:c>
    </x:row>
    <x:row r="27" ht="38" customHeight="1">
      <x:c r="A27" s="2" t="str">
        <x:v>Mob_Lab_SentinelSphinxling</x:v>
      </x:c>
      <x:c r="B27" s="2" t="str">
        <x:v>Character</x:v>
      </x:c>
      <x:c r="C27" s="2" t="str">
        <x:v>Labyrinth</x:v>
      </x:c>
      <x:c r="D27" s="4" t="str">
        <x:v>Elite: guards riddle rooms</x:v>
      </x:c>
      <x:c r="E27" s="6" t="n">
        <x:v>1048</x:v>
      </x:c>
      <x:c r="F27" s="2" t="str">
        <x:v>LabyrinthCreatureV1</x:v>
      </x:c>
      <x:c r="G27" s="4" t="str">
        <x:v>Idle, Move</x:v>
      </x:c>
      <x:c r="H27" s="2" t="str">
        <x:v>Validated</x:v>
      </x:c>
      <x:c r="I27" s="2" t="str">
        <x:v>Pending</x:v>
      </x:c>
      <x:c r="J27" s="2" t="str">
        <x:v>Binding pending</x:v>
      </x:c>
      <x:c r="K27" s="2" t="str">
        <x:v>creatures/Mob_Lab_SentinelSphinxling.glb</x:v>
      </x:c>
      <x:c r="L27" s="2" t="str">
        <x:v>aa184c7564d9dd35f33a8af74a1be96c0ee6012af61a07a79b44bbc43900073c</x:v>
      </x:c>
    </x:row>
    <x:row r="28" ht="38" customHeight="1">
      <x:c r="A28" s="2" t="str">
        <x:v>Mob_Lab_FoldingMaze</x:v>
      </x:c>
      <x:c r="B28" s="2" t="str">
        <x:v>Character</x:v>
      </x:c>
      <x:c r="C28" s="2" t="str">
        <x:v>Labyrinth</x:v>
      </x:c>
      <x:c r="D28" s="4" t="str">
        <x:v>Boss: folding wall creature</x:v>
      </x:c>
      <x:c r="E28" s="6" t="n">
        <x:v>592</x:v>
      </x:c>
      <x:c r="F28" s="2" t="str">
        <x:v>LabyrinthCreatureV1</x:v>
      </x:c>
      <x:c r="G28" s="4" t="str">
        <x:v>Idle, Move</x:v>
      </x:c>
      <x:c r="H28" s="2" t="str">
        <x:v>Validated</x:v>
      </x:c>
      <x:c r="I28" s="2" t="str">
        <x:v>Pending</x:v>
      </x:c>
      <x:c r="J28" s="2" t="str">
        <x:v>Binding pending</x:v>
      </x:c>
      <x:c r="K28" s="2" t="str">
        <x:v>creatures/Mob_Lab_FoldingMaze.glb</x:v>
      </x:c>
      <x:c r="L28" s="2" t="str">
        <x:v>2e0c000556ffa04d56e866f1609dd5aacbe5835760603c80d389daeebafdb6c9</x:v>
      </x:c>
    </x:row>
    <x:row r="29" ht="38" customHeight="1">
      <x:c r="A29" s="2" t="str">
        <x:v>Mob_Lab_MossSnail</x:v>
      </x:c>
      <x:c r="B29" s="2" t="str">
        <x:v>Character</x:v>
      </x:c>
      <x:c r="C29" s="2" t="str">
        <x:v>Labyrinth</x:v>
      </x:c>
      <x:c r="D29" s="4" t="str">
        <x:v>Ambient: moss recycling</x:v>
      </x:c>
      <x:c r="E29" s="6" t="n">
        <x:v>1200</x:v>
      </x:c>
      <x:c r="F29" s="2" t="str">
        <x:v>LabyrinthCreatureV1</x:v>
      </x:c>
      <x:c r="G29" s="4" t="str">
        <x:v>Idle, Move</x:v>
      </x:c>
      <x:c r="H29" s="2" t="str">
        <x:v>Validated</x:v>
      </x:c>
      <x:c r="I29" s="2" t="str">
        <x:v>Pending</x:v>
      </x:c>
      <x:c r="J29" s="2" t="str">
        <x:v>Binding pending</x:v>
      </x:c>
      <x:c r="K29" s="2" t="str">
        <x:v>creatures/Mob_Lab_MossSnail.glb</x:v>
      </x:c>
      <x:c r="L29" s="2" t="str">
        <x:v>8ac45a0c042503a982973c43c7a406364a1d866392726b6b1e3459e37c73d93c</x:v>
      </x:c>
    </x:row>
    <x:row r="30" ht="38" customHeight="1">
      <x:c r="A30" s="2" t="str">
        <x:v>Mob_Lab_EchoCricket</x:v>
      </x:c>
      <x:c r="B30" s="2" t="str">
        <x:v>Character</x:v>
      </x:c>
      <x:c r="C30" s="2" t="str">
        <x:v>Labyrinth</x:v>
      </x:c>
      <x:c r="D30" s="4" t="str">
        <x:v>Ambient: echo timing clue</x:v>
      </x:c>
      <x:c r="E30" s="6" t="n">
        <x:v>912</x:v>
      </x:c>
      <x:c r="F30" s="2" t="str">
        <x:v>LabyrinthCreatureV1</x:v>
      </x:c>
      <x:c r="G30" s="4" t="str">
        <x:v>Idle, Move</x:v>
      </x:c>
      <x:c r="H30" s="2" t="str">
        <x:v>Validated</x:v>
      </x:c>
      <x:c r="I30" s="2" t="str">
        <x:v>Pending</x:v>
      </x:c>
      <x:c r="J30" s="2" t="str">
        <x:v>Binding pending</x:v>
      </x:c>
      <x:c r="K30" s="2" t="str">
        <x:v>creatures/Mob_Lab_EchoCricket.glb</x:v>
      </x:c>
      <x:c r="L30" s="2" t="str">
        <x:v>eb67b05c8117251449c5776289248e1e85aee98db195eb54fe2d8d8d1e853625</x:v>
      </x:c>
    </x:row>
    <x:row r="31" ht="38" customHeight="1">
      <x:c r="A31" s="2" t="str">
        <x:v>Mob_Lab_SkyStrider</x:v>
      </x:c>
      <x:c r="B31" s="2" t="str">
        <x:v>Character</x:v>
      </x:c>
      <x:c r="C31" s="2" t="str">
        <x:v>Labyrinth</x:v>
      </x:c>
      <x:c r="D31" s="4" t="str">
        <x:v>Mount: realm sky-strider</x:v>
      </x:c>
      <x:c r="E31" s="6" t="n">
        <x:v>958</x:v>
      </x:c>
      <x:c r="F31" s="2" t="str">
        <x:v>LabyrinthCreatureV1</x:v>
      </x:c>
      <x:c r="G31" s="4" t="str">
        <x:v>Idle, Move</x:v>
      </x:c>
      <x:c r="H31" s="2" t="str">
        <x:v>Validated</x:v>
      </x:c>
      <x:c r="I31" s="2" t="str">
        <x:v>Pending</x:v>
      </x:c>
      <x:c r="J31" s="2" t="str">
        <x:v>Binding pending</x:v>
      </x:c>
      <x:c r="K31" s="2" t="str">
        <x:v>creatures/Mob_Lab_SkyStrider.glb</x:v>
      </x:c>
      <x:c r="L31" s="2" t="str">
        <x:v>3f05fbd534f2ffcd59dcf691d6c7d0766709835614c627aee85029858a2a7589</x:v>
      </x:c>
    </x:row>
    <x:row r="32" ht="38" customHeight="1">
      <x:c r="A32" s="2" t="str">
        <x:v>Mob_Lab_CorridorHound</x:v>
      </x:c>
      <x:c r="B32" s="2" t="str">
        <x:v>Character</x:v>
      </x:c>
      <x:c r="C32" s="2" t="str">
        <x:v>Labyrinth</x:v>
      </x:c>
      <x:c r="D32" s="4" t="str">
        <x:v>Companion: scent route guide</x:v>
      </x:c>
      <x:c r="E32" s="6" t="n">
        <x:v>792</x:v>
      </x:c>
      <x:c r="F32" s="2" t="str">
        <x:v>LabyrinthCreatureV1</x:v>
      </x:c>
      <x:c r="G32" s="4" t="str">
        <x:v>Idle, Move</x:v>
      </x:c>
      <x:c r="H32" s="2" t="str">
        <x:v>Validated</x:v>
      </x:c>
      <x:c r="I32" s="2" t="str">
        <x:v>Pending</x:v>
      </x:c>
      <x:c r="J32" s="2" t="str">
        <x:v>Binding pending</x:v>
      </x:c>
      <x:c r="K32" s="2" t="str">
        <x:v>creatures/Mob_Lab_CorridorHound.glb</x:v>
      </x:c>
      <x:c r="L32" s="2" t="str">
        <x:v>0ad722c9dd37699bba338bcb0948d8b01b89863fc386cbc2c473e5a1a87e75ed</x:v>
      </x:c>
    </x:row>
    <x:row r="33" ht="38" customHeight="1">
      <x:c r="A33" s="2" t="str">
        <x:v>Mob_Lab_LanternWisp</x:v>
      </x:c>
      <x:c r="B33" s="2" t="str">
        <x:v>Character</x:v>
      </x:c>
      <x:c r="C33" s="2" t="str">
        <x:v>Labyrinth</x:v>
      </x:c>
      <x:c r="D33" s="4" t="str">
        <x:v>Companion: bounded route lighting</x:v>
      </x:c>
      <x:c r="E33" s="6" t="n">
        <x:v>348</x:v>
      </x:c>
      <x:c r="F33" s="2" t="str">
        <x:v>LabyrinthCreatureV1</x:v>
      </x:c>
      <x:c r="G33" s="4" t="str">
        <x:v>Idle, Move</x:v>
      </x:c>
      <x:c r="H33" s="2" t="str">
        <x:v>Validated</x:v>
      </x:c>
      <x:c r="I33" s="2" t="str">
        <x:v>Pending</x:v>
      </x:c>
      <x:c r="J33" s="2" t="str">
        <x:v>Binding pending</x:v>
      </x:c>
      <x:c r="K33" s="2" t="str">
        <x:v>creatures/Mob_Lab_LanternWisp.glb</x:v>
      </x:c>
      <x:c r="L33" s="2" t="str">
        <x:v>a027e01473266cecb90084574d159f04ddd250d92e24c3a7024460b5f80bc913</x:v>
      </x:c>
    </x:row>
    <x:row r="34" ht="38" customHeight="1">
      <x:c r="A34" s="2" t="str">
        <x:v>Mob_Lab_ChalkKitten</x:v>
      </x:c>
      <x:c r="B34" s="2" t="str">
        <x:v>Character</x:v>
      </x:c>
      <x:c r="C34" s="2" t="str">
        <x:v>Labyrinth</x:v>
      </x:c>
      <x:c r="D34" s="4" t="str">
        <x:v>Pet: finds chalk caches</x:v>
      </x:c>
      <x:c r="E34" s="6" t="n">
        <x:v>732</x:v>
      </x:c>
      <x:c r="F34" s="2" t="str">
        <x:v>LabyrinthCreatureV1</x:v>
      </x:c>
      <x:c r="G34" s="4" t="str">
        <x:v>Idle, Move</x:v>
      </x:c>
      <x:c r="H34" s="2" t="str">
        <x:v>Validated</x:v>
      </x:c>
      <x:c r="I34" s="2" t="str">
        <x:v>Pending</x:v>
      </x:c>
      <x:c r="J34" s="2" t="str">
        <x:v>Binding pending</x:v>
      </x:c>
      <x:c r="K34" s="2" t="str">
        <x:v>creatures/Mob_Lab_ChalkKitten.glb</x:v>
      </x:c>
      <x:c r="L34" s="2" t="str">
        <x:v>243e02ccecb2c719454881078f9590e1382b75a01840a1208c0c8d1a11f757ed</x:v>
      </x:c>
    </x:row>
    <x:row r="35" ht="38" customHeight="1">
      <x:c r="A35" s="2" t="str">
        <x:v>Mob_Lab_CompassBeetle</x:v>
      </x:c>
      <x:c r="B35" s="2" t="str">
        <x:v>Character</x:v>
      </x:c>
      <x:c r="C35" s="2" t="str">
        <x:v>Labyrinth</x:v>
      </x:c>
      <x:c r="D35" s="4" t="str">
        <x:v>Pet: reacts near exits</x:v>
      </x:c>
      <x:c r="E35" s="6" t="n">
        <x:v>1004</x:v>
      </x:c>
      <x:c r="F35" s="2" t="str">
        <x:v>LabyrinthCreatureV1</x:v>
      </x:c>
      <x:c r="G35" s="4" t="str">
        <x:v>Idle, Move</x:v>
      </x:c>
      <x:c r="H35" s="2" t="str">
        <x:v>Validated</x:v>
      </x:c>
      <x:c r="I35" s="2" t="str">
        <x:v>Pending</x:v>
      </x:c>
      <x:c r="J35" s="2" t="str">
        <x:v>Binding pending</x:v>
      </x:c>
      <x:c r="K35" s="2" t="str">
        <x:v>creatures/Mob_Lab_CompassBeetle.glb</x:v>
      </x:c>
      <x:c r="L35" s="2" t="str">
        <x:v>5edacad7a5ace3a0edbe02fb44ba1b94029e163a6a12c14761f9c37523ba3d1e</x:v>
      </x:c>
    </x:row>
    <x:row r="36" ht="38" customHeight="1">
      <x:c r="A36" s="2" t="str">
        <x:v>Mob_Lab_Mazemouse</x:v>
      </x:c>
      <x:c r="B36" s="2" t="str">
        <x:v>Character</x:v>
      </x:c>
      <x:c r="C36" s="2" t="str">
        <x:v>Labyrinth</x:v>
      </x:c>
      <x:c r="D36" s="4" t="str">
        <x:v>Pet: narrow-gap scout</x:v>
      </x:c>
      <x:c r="E36" s="6" t="n">
        <x:v>732</x:v>
      </x:c>
      <x:c r="F36" s="2" t="str">
        <x:v>LabyrinthCreatureV1</x:v>
      </x:c>
      <x:c r="G36" s="4" t="str">
        <x:v>Idle, Move</x:v>
      </x:c>
      <x:c r="H36" s="2" t="str">
        <x:v>Validated</x:v>
      </x:c>
      <x:c r="I36" s="2" t="str">
        <x:v>Pending</x:v>
      </x:c>
      <x:c r="J36" s="2" t="str">
        <x:v>Binding pending</x:v>
      </x:c>
      <x:c r="K36" s="2" t="str">
        <x:v>creatures/Mob_Lab_Mazemouse.glb</x:v>
      </x:c>
      <x:c r="L36" s="2" t="str">
        <x:v>9eca732e7877a9aa5444f18fcaf00742a0f8809f9a5a9f56b719fd56b2fee6d9</x:v>
      </x:c>
    </x:row>
    <x:row r="37" ht="38" customHeight="1">
      <x:c r="A37" s="2" t="str">
        <x:v>Mob_Lab_ThreadMoth</x:v>
      </x:c>
      <x:c r="B37" s="2" t="str">
        <x:v>Character</x:v>
      </x:c>
      <x:c r="C37" s="2" t="str">
        <x:v>Labyrinth</x:v>
      </x:c>
      <x:c r="D37" s="4" t="str">
        <x:v>Pet: follows marked thread</x:v>
      </x:c>
      <x:c r="E37" s="6" t="n">
        <x:v>1048</x:v>
      </x:c>
      <x:c r="F37" s="2" t="str">
        <x:v>LabyrinthCreatureV1</x:v>
      </x:c>
      <x:c r="G37" s="4" t="str">
        <x:v>Idle, Move</x:v>
      </x:c>
      <x:c r="H37" s="2" t="str">
        <x:v>Validated</x:v>
      </x:c>
      <x:c r="I37" s="2" t="str">
        <x:v>Pending</x:v>
      </x:c>
      <x:c r="J37" s="2" t="str">
        <x:v>Binding pending</x:v>
      </x:c>
      <x:c r="K37" s="2" t="str">
        <x:v>creatures/Mob_Lab_ThreadMoth.glb</x:v>
      </x:c>
      <x:c r="L37" s="2" t="str">
        <x:v>c00a9da9e92622be561ae5ff92d65632af86b3d9ff7509da3dc8dd04f6ac2d29</x:v>
      </x:c>
    </x:row>
    <x:row r="38" ht="38" customHeight="1">
      <x:c r="A38" s="2" t="str">
        <x:v>Mob_Lab_VenusGuide</x:v>
      </x:c>
      <x:c r="B38" s="2" t="str">
        <x:v>Character</x:v>
      </x:c>
      <x:c r="C38" s="2" t="str">
        <x:v>Labyrinth</x:v>
      </x:c>
      <x:c r="D38" s="4" t="str">
        <x:v>Friendly carnivorous helper: guides players and defends against hostiles</x:v>
      </x:c>
      <x:c r="E38" s="6" t="n">
        <x:v>936</x:v>
      </x:c>
      <x:c r="F38" s="2" t="str">
        <x:v>LabyrinthCreatureV1</x:v>
      </x:c>
      <x:c r="G38" s="4" t="str">
        <x:v>Idle, Move</x:v>
      </x:c>
      <x:c r="H38" s="2" t="str">
        <x:v>Validated</x:v>
      </x:c>
      <x:c r="I38" s="2" t="str">
        <x:v>Pending</x:v>
      </x:c>
      <x:c r="J38" s="2" t="str">
        <x:v>Binding pending</x:v>
      </x:c>
      <x:c r="K38" s="2" t="str">
        <x:v>creatures/Mob_Lab_VenusGuide.glb</x:v>
      </x:c>
      <x:c r="L38" s="2" t="str">
        <x:v>b6f44973abe11ea90a1ab7b3e7d4932dfadccb4b6270ad0a96f02d8909244c7e</x:v>
      </x:c>
    </x:row>
    <x:row r="39" ht="38" customHeight="1">
      <x:c r="A39" s="2" t="str">
        <x:v>Mob_Lab_PitcherMedic</x:v>
      </x:c>
      <x:c r="B39" s="2" t="str">
        <x:v>Character</x:v>
      </x:c>
      <x:c r="C39" s="2" t="str">
        <x:v>Labyrinth</x:v>
      </x:c>
      <x:c r="D39" s="4" t="str">
        <x:v>Friendly carnivorous helper: offers safe shelter and healing quests</x:v>
      </x:c>
      <x:c r="E39" s="6" t="n">
        <x:v>748</x:v>
      </x:c>
      <x:c r="F39" s="2" t="str">
        <x:v>LabyrinthCreatureV1</x:v>
      </x:c>
      <x:c r="G39" s="4" t="str">
        <x:v>Idle, Move</x:v>
      </x:c>
      <x:c r="H39" s="2" t="str">
        <x:v>Validated</x:v>
      </x:c>
      <x:c r="I39" s="2" t="str">
        <x:v>Pending</x:v>
      </x:c>
      <x:c r="J39" s="2" t="str">
        <x:v>Binding pending</x:v>
      </x:c>
      <x:c r="K39" s="2" t="str">
        <x:v>creatures/Mob_Lab_PitcherMedic.glb</x:v>
      </x:c>
      <x:c r="L39" s="2" t="str">
        <x:v>405a0b79a40166dbca5ec6e2757d82d6cc285117e994bd5e09aaae5484821113</x:v>
      </x:c>
    </x:row>
    <x:row r="40" ht="38" customHeight="1">
      <x:c r="A40" s="2" t="str">
        <x:v>Mob_Lab_SundewGuardian</x:v>
      </x:c>
      <x:c r="B40" s="2" t="str">
        <x:v>Character</x:v>
      </x:c>
      <x:c r="C40" s="2" t="str">
        <x:v>Labyrinth</x:v>
      </x:c>
      <x:c r="D40" s="4" t="str">
        <x:v>Friendly carnivorous helper: slows hostile pursuers, never players</x:v>
      </x:c>
      <x:c r="E40" s="6" t="n">
        <x:v>1680</x:v>
      </x:c>
      <x:c r="F40" s="2" t="str">
        <x:v>LabyrinthCreatureV1</x:v>
      </x:c>
      <x:c r="G40" s="4" t="str">
        <x:v>Idle, Move</x:v>
      </x:c>
      <x:c r="H40" s="2" t="str">
        <x:v>Validated</x:v>
      </x:c>
      <x:c r="I40" s="2" t="str">
        <x:v>Pending</x:v>
      </x:c>
      <x:c r="J40" s="2" t="str">
        <x:v>Binding pending</x:v>
      </x:c>
      <x:c r="K40" s="2" t="str">
        <x:v>creatures/Mob_Lab_SundewGuardian.glb</x:v>
      </x:c>
      <x:c r="L40" s="2" t="str">
        <x:v>57a02405bceffcb0cfdd098888f577537acd4b2e20af0d29eaaf842baa817104</x:v>
      </x:c>
    </x:row>
    <x:row r="41" ht="38" customHeight="1">
      <x:c r="A41" s="2" t="str">
        <x:v>Prop_Lab_Floor4m</x:v>
      </x:c>
      <x:c r="B41" s="2" t="str">
        <x:v>Prop</x:v>
      </x:c>
      <x:c r="C41" s="2" t="str">
        <x:v>Labyrinth</x:v>
      </x:c>
      <x:c r="D41" s="4" t="str">
        <x:v>4m snapping floor</x:v>
      </x:c>
      <x:c r="E41" s="6" t="n">
        <x:v>44</x:v>
      </x:c>
      <x:c r="F41" s="2" t="str">
        <x:v>static</x:v>
      </x:c>
      <x:c r="G41" s="4" t="str"/>
      <x:c r="H41" s="2" t="str">
        <x:v>Validated</x:v>
      </x:c>
      <x:c r="I41" s="2" t="str">
        <x:v>Pending</x:v>
      </x:c>
      <x:c r="J41" s="2" t="str">
        <x:v>Binding pending</x:v>
      </x:c>
      <x:c r="K41" s="2" t="str">
        <x:v>environment/Prop_Lab_Floor4m.glb</x:v>
      </x:c>
      <x:c r="L41" s="2" t="str">
        <x:v>2c0b0b080a4180699c217b3c89e91d39350a0303cd281cede0ec2d6e1f6870c5</x:v>
      </x:c>
    </x:row>
    <x:row r="42" ht="38" customHeight="1">
      <x:c r="A42" s="2" t="str">
        <x:v>Prop_Lab_Wall4m</x:v>
      </x:c>
      <x:c r="B42" s="2" t="str">
        <x:v>Prop</x:v>
      </x:c>
      <x:c r="C42" s="2" t="str">
        <x:v>Labyrinth</x:v>
      </x:c>
      <x:c r="D42" s="4" t="str">
        <x:v>4m wall with route inset</x:v>
      </x:c>
      <x:c r="E42" s="6" t="n">
        <x:v>132</x:v>
      </x:c>
      <x:c r="F42" s="2" t="str">
        <x:v>static</x:v>
      </x:c>
      <x:c r="G42" s="4" t="str"/>
      <x:c r="H42" s="2" t="str">
        <x:v>Validated</x:v>
      </x:c>
      <x:c r="I42" s="2" t="str">
        <x:v>Pending</x:v>
      </x:c>
      <x:c r="J42" s="2" t="str">
        <x:v>Binding pending</x:v>
      </x:c>
      <x:c r="K42" s="2" t="str">
        <x:v>environment/Prop_Lab_Wall4m.glb</x:v>
      </x:c>
      <x:c r="L42" s="2" t="str">
        <x:v>822ceab583be22880919297f97bbf821aa9612f2a9e2f3ea685113f2a047f8e5</x:v>
      </x:c>
    </x:row>
    <x:row r="43" ht="38" customHeight="1">
      <x:c r="A43" s="2" t="str">
        <x:v>Prop_Lab_Corner4m</x:v>
      </x:c>
      <x:c r="B43" s="2" t="str">
        <x:v>Prop</x:v>
      </x:c>
      <x:c r="C43" s="2" t="str">
        <x:v>Labyrinth</x:v>
      </x:c>
      <x:c r="D43" s="4" t="str">
        <x:v>L-shaped maze corner</x:v>
      </x:c>
      <x:c r="E43" s="6" t="n">
        <x:v>176</x:v>
      </x:c>
      <x:c r="F43" s="2" t="str">
        <x:v>static</x:v>
      </x:c>
      <x:c r="G43" s="4" t="str"/>
      <x:c r="H43" s="2" t="str">
        <x:v>Validated</x:v>
      </x:c>
      <x:c r="I43" s="2" t="str">
        <x:v>Pending</x:v>
      </x:c>
      <x:c r="J43" s="2" t="str">
        <x:v>Binding pending</x:v>
      </x:c>
      <x:c r="K43" s="2" t="str">
        <x:v>environment/Prop_Lab_Corner4m.glb</x:v>
      </x:c>
      <x:c r="L43" s="2" t="str">
        <x:v>990bea2d49c029955691c0d3a648f701b126bf5e70ef505964734a618a02418c</x:v>
      </x:c>
    </x:row>
    <x:row r="44" ht="38" customHeight="1">
      <x:c r="A44" s="2" t="str">
        <x:v>Prop_Lab_GateArch</x:v>
      </x:c>
      <x:c r="B44" s="2" t="str">
        <x:v>Prop</x:v>
      </x:c>
      <x:c r="C44" s="2" t="str">
        <x:v>Labyrinth</x:v>
      </x:c>
      <x:c r="D44" s="4" t="str">
        <x:v>Riddle gate frame</x:v>
      </x:c>
      <x:c r="E44" s="6" t="n">
        <x:v>132</x:v>
      </x:c>
      <x:c r="F44" s="2" t="str">
        <x:v>static</x:v>
      </x:c>
      <x:c r="G44" s="4" t="str"/>
      <x:c r="H44" s="2" t="str">
        <x:v>Validated</x:v>
      </x:c>
      <x:c r="I44" s="2" t="str">
        <x:v>Pending</x:v>
      </x:c>
      <x:c r="J44" s="2" t="str">
        <x:v>Binding pending</x:v>
      </x:c>
      <x:c r="K44" s="2" t="str">
        <x:v>environment/Prop_Lab_GateArch.glb</x:v>
      </x:c>
      <x:c r="L44" s="2" t="str">
        <x:v>ea3a82e7b36a8d629e051c277784fe65f602a76968f4cf684f8a96b475bb4f9a</x:v>
      </x:c>
    </x:row>
    <x:row r="45" ht="38" customHeight="1">
      <x:c r="A45" s="2" t="str">
        <x:v>Prop_Lab_ThreadAnchor</x:v>
      </x:c>
      <x:c r="B45" s="2" t="str">
        <x:v>Prop</x:v>
      </x:c>
      <x:c r="C45" s="2" t="str">
        <x:v>Labyrinth</x:v>
      </x:c>
      <x:c r="D45" s="4" t="str">
        <x:v>Attach persistent route thread</x:v>
      </x:c>
      <x:c r="E45" s="6" t="n">
        <x:v>272</x:v>
      </x:c>
      <x:c r="F45" s="2" t="str">
        <x:v>static</x:v>
      </x:c>
      <x:c r="G45" s="4" t="str"/>
      <x:c r="H45" s="2" t="str">
        <x:v>Validated</x:v>
      </x:c>
      <x:c r="I45" s="2" t="str">
        <x:v>Pending</x:v>
      </x:c>
      <x:c r="J45" s="2" t="str">
        <x:v>Binding pending</x:v>
      </x:c>
      <x:c r="K45" s="2" t="str">
        <x:v>environment/Prop_Lab_ThreadAnchor.glb</x:v>
      </x:c>
      <x:c r="L45" s="2" t="str">
        <x:v>e40b65292bc16202cfd61730baa4ac83326ac3a1732e66d9d41bfc55021ad8f1</x:v>
      </x:c>
    </x:row>
    <x:row r="46" ht="38" customHeight="1">
      <x:c r="A46" s="2" t="str">
        <x:v>Prop_Lab_ChalkMarker</x:v>
      </x:c>
      <x:c r="B46" s="2" t="str">
        <x:v>Prop</x:v>
      </x:c>
      <x:c r="C46" s="2" t="str">
        <x:v>Labyrinth</x:v>
      </x:c>
      <x:c r="D46" s="4" t="str">
        <x:v>Player path marking surface</x:v>
      </x:c>
      <x:c r="E46" s="6" t="n">
        <x:v>132</x:v>
      </x:c>
      <x:c r="F46" s="2" t="str">
        <x:v>static</x:v>
      </x:c>
      <x:c r="G46" s="4" t="str"/>
      <x:c r="H46" s="2" t="str">
        <x:v>Validated</x:v>
      </x:c>
      <x:c r="I46" s="2" t="str">
        <x:v>Pending</x:v>
      </x:c>
      <x:c r="J46" s="2" t="str">
        <x:v>Binding pending</x:v>
      </x:c>
      <x:c r="K46" s="2" t="str">
        <x:v>environment/Prop_Lab_ChalkMarker.glb</x:v>
      </x:c>
      <x:c r="L46" s="2" t="str">
        <x:v>074720f3929340f31f4d712e9275c0fb4400d8368b87ffbd976bdf69b6789aff</x:v>
      </x:c>
    </x:row>
    <x:row r="47" ht="38" customHeight="1">
      <x:c r="A47" s="2" t="str">
        <x:v>Prop_Lab_TrapPlate</x:v>
      </x:c>
      <x:c r="B47" s="2" t="str">
        <x:v>Prop</x:v>
      </x:c>
      <x:c r="C47" s="2" t="str">
        <x:v>Labyrinth</x:v>
      </x:c>
      <x:c r="D47" s="4" t="str">
        <x:v>Readable pressure trap</x:v>
      </x:c>
      <x:c r="E47" s="6" t="n">
        <x:v>142</x:v>
      </x:c>
      <x:c r="F47" s="2" t="str">
        <x:v>static</x:v>
      </x:c>
      <x:c r="G47" s="4" t="str"/>
      <x:c r="H47" s="2" t="str">
        <x:v>Validated</x:v>
      </x:c>
      <x:c r="I47" s="2" t="str">
        <x:v>Pending</x:v>
      </x:c>
      <x:c r="J47" s="2" t="str">
        <x:v>Binding pending</x:v>
      </x:c>
      <x:c r="K47" s="2" t="str">
        <x:v>environment/Prop_Lab_TrapPlate.glb</x:v>
      </x:c>
      <x:c r="L47" s="2" t="str">
        <x:v>e55af118ea01ff32a457b3396ac756f79f3a9d3c2b67229ada95457f5e01c1f6</x:v>
      </x:c>
    </x:row>
    <x:row r="48" ht="38" customHeight="1">
      <x:c r="A48" s="2" t="str">
        <x:v>Prop_Lab_MirrorPanel</x:v>
      </x:c>
      <x:c r="B48" s="2" t="str">
        <x:v>Prop</x:v>
      </x:c>
      <x:c r="C48" s="2" t="str">
        <x:v>Labyrinth</x:v>
      </x:c>
      <x:c r="D48" s="4" t="str">
        <x:v>Reflection puzzle surface</x:v>
      </x:c>
      <x:c r="E48" s="6" t="n">
        <x:v>132</x:v>
      </x:c>
      <x:c r="F48" s="2" t="str">
        <x:v>static</x:v>
      </x:c>
      <x:c r="G48" s="4" t="str"/>
      <x:c r="H48" s="2" t="str">
        <x:v>Validated</x:v>
      </x:c>
      <x:c r="I48" s="2" t="str">
        <x:v>Pending</x:v>
      </x:c>
      <x:c r="J48" s="2" t="str">
        <x:v>Binding pending</x:v>
      </x:c>
      <x:c r="K48" s="2" t="str">
        <x:v>environment/Prop_Lab_MirrorPanel.glb</x:v>
      </x:c>
      <x:c r="L48" s="2" t="str">
        <x:v>4c071b45af920eefbe6d0056bb1cdc2dc96ab85f9352bee645d79b0a7137cfc3</x:v>
      </x:c>
    </x:row>
    <x:row r="49" ht="38" customHeight="1">
      <x:c r="A49" s="2" t="str">
        <x:v>Prop_Lab_HedgePlanter</x:v>
      </x:c>
      <x:c r="B49" s="2" t="str">
        <x:v>Prop</x:v>
      </x:c>
      <x:c r="C49" s="2" t="str">
        <x:v>Labyrinth</x:v>
      </x:c>
      <x:c r="D49" s="4" t="str">
        <x:v>Regrowing hedge obstacle</x:v>
      </x:c>
      <x:c r="E49" s="6" t="n">
        <x:v>448</x:v>
      </x:c>
      <x:c r="F49" s="2" t="str">
        <x:v>static</x:v>
      </x:c>
      <x:c r="G49" s="4" t="str"/>
      <x:c r="H49" s="2" t="str">
        <x:v>Validated</x:v>
      </x:c>
      <x:c r="I49" s="2" t="str">
        <x:v>Pending</x:v>
      </x:c>
      <x:c r="J49" s="2" t="str">
        <x:v>Binding pending</x:v>
      </x:c>
      <x:c r="K49" s="2" t="str">
        <x:v>environment/Prop_Lab_HedgePlanter.glb</x:v>
      </x:c>
      <x:c r="L49" s="2" t="str">
        <x:v>1efc4f87b79cb57207c952dd0c50f91fc3c04954765244cea70b2da18ca58cfb</x:v>
      </x:c>
    </x:row>
    <x:row r="50" ht="38" customHeight="1">
      <x:c r="A50" s="2" t="str">
        <x:v>Prop_Lab_StriderPerch</x:v>
      </x:c>
      <x:c r="B50" s="2" t="str">
        <x:v>Prop</x:v>
      </x:c>
      <x:c r="C50" s="2" t="str">
        <x:v>Labyrinth</x:v>
      </x:c>
      <x:c r="D50" s="4" t="str">
        <x:v>Mount rest and care</x:v>
      </x:c>
      <x:c r="E50" s="6" t="n">
        <x:v>160</x:v>
      </x:c>
      <x:c r="F50" s="2" t="str">
        <x:v>static</x:v>
      </x:c>
      <x:c r="G50" s="4" t="str"/>
      <x:c r="H50" s="2" t="str">
        <x:v>Validated</x:v>
      </x:c>
      <x:c r="I50" s="2" t="str">
        <x:v>Pending</x:v>
      </x:c>
      <x:c r="J50" s="2" t="str">
        <x:v>Binding pending</x:v>
      </x:c>
      <x:c r="K50" s="2" t="str">
        <x:v>environment/Prop_Lab_StriderPerch.glb</x:v>
      </x:c>
      <x:c r="L50" s="2" t="str">
        <x:v>7509d19c809c67db18d3474dcfd086e2f625f0ed14f2b3013280c73e37ba8565</x:v>
      </x:c>
    </x:row>
    <x:row r="51" ht="38" customHeight="1">
      <x:c r="A51" s="2" t="str">
        <x:v>Prop_Lab_HornbackTrough</x:v>
      </x:c>
      <x:c r="B51" s="2" t="str">
        <x:v>Prop</x:v>
      </x:c>
      <x:c r="C51" s="2" t="str">
        <x:v>Labyrinth</x:v>
      </x:c>
      <x:c r="D51" s="4" t="str">
        <x:v>Livestock care and calming</x:v>
      </x:c>
      <x:c r="E51" s="6" t="n">
        <x:v>264</x:v>
      </x:c>
      <x:c r="F51" s="2" t="str">
        <x:v>static</x:v>
      </x:c>
      <x:c r="G51" s="4" t="str"/>
      <x:c r="H51" s="2" t="str">
        <x:v>Validated</x:v>
      </x:c>
      <x:c r="I51" s="2" t="str">
        <x:v>Pending</x:v>
      </x:c>
      <x:c r="J51" s="2" t="str">
        <x:v>Binding pending</x:v>
      </x:c>
      <x:c r="K51" s="2" t="str">
        <x:v>environment/Prop_Lab_HornbackTrough.glb</x:v>
      </x:c>
      <x:c r="L51" s="2" t="str">
        <x:v>acee1bbccc4f88b524def714e3054875d44cee1db435b2702ddab530d7dc419b</x:v>
      </x:c>
    </x:row>
    <x:row r="52" ht="38" customHeight="1">
      <x:c r="A52" s="2" t="str">
        <x:v>Prop_Lab_EchoBell</x:v>
      </x:c>
      <x:c r="B52" s="2" t="str">
        <x:v>Prop</x:v>
      </x:c>
      <x:c r="C52" s="2" t="str">
        <x:v>Labyrinth</x:v>
      </x:c>
      <x:c r="D52" s="4" t="str">
        <x:v>Echo timing puzzle</x:v>
      </x:c>
      <x:c r="E52" s="6" t="n">
        <x:v>212</x:v>
      </x:c>
      <x:c r="F52" s="2" t="str">
        <x:v>static</x:v>
      </x:c>
      <x:c r="G52" s="4" t="str"/>
      <x:c r="H52" s="2" t="str">
        <x:v>Validated</x:v>
      </x:c>
      <x:c r="I52" s="2" t="str">
        <x:v>Pending</x:v>
      </x:c>
      <x:c r="J52" s="2" t="str">
        <x:v>Binding pending</x:v>
      </x:c>
      <x:c r="K52" s="2" t="str">
        <x:v>environment/Prop_Lab_EchoBell.glb</x:v>
      </x:c>
      <x:c r="L52" s="2" t="str">
        <x:v>e9ba537e3aaa041c569b43388d365bd80e759395d23b5f41ac90190ae0464683</x:v>
      </x:c>
    </x:row>
    <x:row r="53" ht="38" customHeight="1">
      <x:c r="A53" s="2" t="str">
        <x:v>Prop_Lab_DM_NarratorLectern</x:v>
      </x:c>
      <x:c r="B53" s="2" t="str">
        <x:v>Prop</x:v>
      </x:c>
      <x:c r="C53" s="2" t="str">
        <x:v>Labyrinth</x:v>
      </x:c>
      <x:c r="D53" s="4" t="str">
        <x:v>Display authoritative narrative and available choices</x:v>
      </x:c>
      <x:c r="E53" s="6" t="n">
        <x:v>60</x:v>
      </x:c>
      <x:c r="F53" s="2" t="str">
        <x:v>static</x:v>
      </x:c>
      <x:c r="G53" s="4" t="str"/>
      <x:c r="H53" s="2" t="str">
        <x:v>Validated</x:v>
      </x:c>
      <x:c r="I53" s="2" t="str">
        <x:v>Pending</x:v>
      </x:c>
      <x:c r="J53" s="2" t="str">
        <x:v>Binding pending</x:v>
      </x:c>
      <x:c r="K53" s="2" t="str">
        <x:v>dungeon-master/Prop_Lab_DM_NarratorLectern.glb</x:v>
      </x:c>
      <x:c r="L53" s="2" t="str">
        <x:v>9da32fe7c6c281d127f4d83c132df70bde73aec13f508120f24b70fd5198af2d</x:v>
      </x:c>
    </x:row>
    <x:row r="54" ht="38" customHeight="1">
      <x:c r="A54" s="2" t="str">
        <x:v>Prop_Lab_DM_ChoiceTrident</x:v>
      </x:c>
      <x:c r="B54" s="2" t="str">
        <x:v>Prop</x:v>
      </x:c>
      <x:c r="C54" s="2" t="str">
        <x:v>Labyrinth</x:v>
      </x:c>
      <x:c r="D54" s="4" t="str">
        <x:v>Select a currently offered choice</x:v>
      </x:c>
      <x:c r="E54" s="6" t="n">
        <x:v>72</x:v>
      </x:c>
      <x:c r="F54" s="2" t="str">
        <x:v>static</x:v>
      </x:c>
      <x:c r="G54" s="4" t="str"/>
      <x:c r="H54" s="2" t="str">
        <x:v>Validated</x:v>
      </x:c>
      <x:c r="I54" s="2" t="str">
        <x:v>Pending</x:v>
      </x:c>
      <x:c r="J54" s="2" t="str">
        <x:v>Binding pending</x:v>
      </x:c>
      <x:c r="K54" s="2" t="str">
        <x:v>dungeon-master/Prop_Lab_DM_ChoiceTrident.glb</x:v>
      </x:c>
      <x:c r="L54" s="2" t="str">
        <x:v>70f2260725eb38e27677b4521d0e422d67a3509fe2bb137aca72e1db27cd94ed</x:v>
      </x:c>
    </x:row>
    <x:row r="55" ht="38" customHeight="1">
      <x:c r="A55" s="2" t="str">
        <x:v>Prop_Lab_DM_ChronicleArchive</x:v>
      </x:c>
      <x:c r="B55" s="2" t="str">
        <x:v>Prop</x:v>
      </x:c>
      <x:c r="C55" s="2" t="str">
        <x:v>Labyrinth</x:v>
      </x:c>
      <x:c r="D55" s="4" t="str">
        <x:v>Read recent history without replaying actions</x:v>
      </x:c>
      <x:c r="E55" s="6" t="n">
        <x:v>144</x:v>
      </x:c>
      <x:c r="F55" s="2" t="str">
        <x:v>static</x:v>
      </x:c>
      <x:c r="G55" s="4" t="str"/>
      <x:c r="H55" s="2" t="str">
        <x:v>Validated</x:v>
      </x:c>
      <x:c r="I55" s="2" t="str">
        <x:v>Pending</x:v>
      </x:c>
      <x:c r="J55" s="2" t="str">
        <x:v>Binding pending</x:v>
      </x:c>
      <x:c r="K55" s="2" t="str">
        <x:v>dungeon-master/Prop_Lab_DM_ChronicleArchive.glb</x:v>
      </x:c>
      <x:c r="L55" s="2" t="str">
        <x:v>bbe6f1a45ded00da8c642c6fe9466b1b6ee022971be03d52e36b6e8b3459038e</x:v>
      </x:c>
    </x:row>
    <x:row r="56" ht="38" customHeight="1">
      <x:c r="A56" s="2" t="str">
        <x:v>Prop_Lab_DM_QuestSeal</x:v>
      </x:c>
      <x:c r="B56" s="2" t="str">
        <x:v>Prop</x:v>
      </x:c>
      <x:c r="C56" s="2" t="str">
        <x:v>Labyrinth</x:v>
      </x:c>
      <x:c r="D56" s="4" t="str">
        <x:v>Show current quest state</x:v>
      </x:c>
      <x:c r="E56" s="6" t="n">
        <x:v>104</x:v>
      </x:c>
      <x:c r="F56" s="2" t="str">
        <x:v>static</x:v>
      </x:c>
      <x:c r="G56" s="4" t="str"/>
      <x:c r="H56" s="2" t="str">
        <x:v>Validated</x:v>
      </x:c>
      <x:c r="I56" s="2" t="str">
        <x:v>Pending</x:v>
      </x:c>
      <x:c r="J56" s="2" t="str">
        <x:v>Binding pending</x:v>
      </x:c>
      <x:c r="K56" s="2" t="str">
        <x:v>dungeon-master/Prop_Lab_DM_QuestSeal.glb</x:v>
      </x:c>
      <x:c r="L56" s="2" t="str">
        <x:v>76d0322743f64940baf1e7ca1aa423b8b3a4e9ac87a14f11c966001476186f6d</x:v>
      </x:c>
    </x:row>
    <x:row r="57" ht="38" customHeight="1">
      <x:c r="A57" s="2" t="str">
        <x:v>Prop_Lab_DM_ReturnWaymarker</x:v>
      </x:c>
      <x:c r="B57" s="2" t="str">
        <x:v>Prop</x:v>
      </x:c>
      <x:c r="C57" s="2" t="str">
        <x:v>Labyrinth</x:v>
      </x:c>
      <x:c r="D57" s="4" t="str">
        <x:v>Local navigation marker, not a realm portal</x:v>
      </x:c>
      <x:c r="E57" s="6" t="n">
        <x:v>64</x:v>
      </x:c>
      <x:c r="F57" s="2" t="str">
        <x:v>static</x:v>
      </x:c>
      <x:c r="G57" s="4" t="str"/>
      <x:c r="H57" s="2" t="str">
        <x:v>Validated</x:v>
      </x:c>
      <x:c r="I57" s="2" t="str">
        <x:v>Pending</x:v>
      </x:c>
      <x:c r="J57" s="2" t="str">
        <x:v>Binding pending</x:v>
      </x:c>
      <x:c r="K57" s="2" t="str">
        <x:v>dungeon-master/Prop_Lab_DM_ReturnWaymarker.glb</x:v>
      </x:c>
      <x:c r="L57" s="2" t="str">
        <x:v>9787ce21f0e4ddf67c3d2d2d08f37709b6ab8026893766a9a4525cc0dc3273aa</x:v>
      </x:c>
    </x:row>
    <x:row r="58" ht="38" customHeight="1">
      <x:c r="A58" s="2" t="str">
        <x:v>Prop_Lab_DM_RiftThreshold</x:v>
      </x:c>
      <x:c r="B58" s="2" t="str">
        <x:v>Prop</x:v>
      </x:c>
      <x:c r="C58" s="2" t="str">
        <x:v>Labyrinth</x:v>
      </x:c>
      <x:c r="D58" s="4" t="str">
        <x:v>Visual dungeon threshold; no automatic realm transfer</x:v>
      </x:c>
      <x:c r="E58" s="6" t="n">
        <x:v>84</x:v>
      </x:c>
      <x:c r="F58" s="2" t="str">
        <x:v>static</x:v>
      </x:c>
      <x:c r="G58" s="4" t="str"/>
      <x:c r="H58" s="2" t="str">
        <x:v>Validated</x:v>
      </x:c>
      <x:c r="I58" s="2" t="str">
        <x:v>Pending</x:v>
      </x:c>
      <x:c r="J58" s="2" t="str">
        <x:v>Binding pending</x:v>
      </x:c>
      <x:c r="K58" s="2" t="str">
        <x:v>dungeon-master/Prop_Lab_DM_RiftThreshold.glb</x:v>
      </x:c>
      <x:c r="L58" s="2" t="str">
        <x:v>0f9fa1b80d3fe808b3a113540d8bb0bd249a68402a12022c213b7c7721ffbb3d</x:v>
      </x:c>
    </x:row>
    <x:row r="59" ht="38" customHeight="1">
      <x:c r="A59" s="2" t="str">
        <x:v>Prop_Lab_DM_PartyRally</x:v>
      </x:c>
      <x:c r="B59" s="2" t="str">
        <x:v>Prop</x:v>
      </x:c>
      <x:c r="C59" s="2" t="str">
        <x:v>Labyrinth</x:v>
      </x:c>
      <x:c r="D59" s="4" t="str">
        <x:v>Display party health and combat state</x:v>
      </x:c>
      <x:c r="E59" s="6" t="n">
        <x:v>248</x:v>
      </x:c>
      <x:c r="F59" s="2" t="str">
        <x:v>static</x:v>
      </x:c>
      <x:c r="G59" s="4" t="str"/>
      <x:c r="H59" s="2" t="str">
        <x:v>Validated</x:v>
      </x:c>
      <x:c r="I59" s="2" t="str">
        <x:v>Pending</x:v>
      </x:c>
      <x:c r="J59" s="2" t="str">
        <x:v>Binding pending</x:v>
      </x:c>
      <x:c r="K59" s="2" t="str">
        <x:v>dungeon-master/Prop_Lab_DM_PartyRally.glb</x:v>
      </x:c>
      <x:c r="L59" s="2" t="str">
        <x:v>b1715048ff420e20b09f13c8ccadb3244ffce0b81a36c55bc0698f7388023c55</x:v>
      </x:c>
    </x:row>
    <x:row r="60" ht="38" customHeight="1">
      <x:c r="A60" s="2" t="str">
        <x:v>Prop_Lab_DM_RewardReliquary</x:v>
      </x:c>
      <x:c r="B60" s="2" t="str">
        <x:v>Prop</x:v>
      </x:c>
      <x:c r="C60" s="2" t="str">
        <x:v>Labyrinth</x:v>
      </x:c>
      <x:c r="D60" s="4" t="str">
        <x:v>Visual reward display; no client-side item grants</x:v>
      </x:c>
      <x:c r="E60" s="6" t="n">
        <x:v>60</x:v>
      </x:c>
      <x:c r="F60" s="2" t="str">
        <x:v>static</x:v>
      </x:c>
      <x:c r="G60" s="4" t="str"/>
      <x:c r="H60" s="2" t="str">
        <x:v>Validated</x:v>
      </x:c>
      <x:c r="I60" s="2" t="str">
        <x:v>Pending</x:v>
      </x:c>
      <x:c r="J60" s="2" t="str">
        <x:v>Binding pending</x:v>
      </x:c>
      <x:c r="K60" s="2" t="str">
        <x:v>dungeon-master/Prop_Lab_DM_RewardReliquary.glb</x:v>
      </x:c>
      <x:c r="L60" s="2" t="str">
        <x:v>e46a09fa3bab8ad96deee9187b365bfabc13b6ed1fa078beac449bcea4a689c8</x:v>
      </x:c>
    </x:row>
    <x:row r="61" ht="38" customHeight="1">
      <x:c r="A61" s="2" t="str">
        <x:v>Prop_Lab_Halloween_PumpkinLantern</x:v>
      </x:c>
      <x:c r="B61" s="2" t="str">
        <x:v>Prop</x:v>
      </x:c>
      <x:c r="C61" s="2" t="str">
        <x:v>Labyrinth</x:v>
      </x:c>
      <x:c r="D61" s="4" t="str">
        <x:v>Labyrinth-exclusive Halloween scenery: PumpkinLantern</x:v>
      </x:c>
      <x:c r="E61" s="6" t="n">
        <x:v>332</x:v>
      </x:c>
      <x:c r="F61" s="2" t="str">
        <x:v>static</x:v>
      </x:c>
      <x:c r="G61" s="4" t="str"/>
      <x:c r="H61" s="2" t="str">
        <x:v>Validated</x:v>
      </x:c>
      <x:c r="I61" s="2" t="str">
        <x:v>Pending</x:v>
      </x:c>
      <x:c r="J61" s="2" t="str">
        <x:v>Binding pending</x:v>
      </x:c>
      <x:c r="K61" s="2" t="str">
        <x:v>halloween/Prop_Lab_Halloween_PumpkinLantern.glb</x:v>
      </x:c>
      <x:c r="L61" s="2" t="str">
        <x:v>db28a8536b7387dd313080e7d2e7306b2585e34c1967f8ba519a11a33b124810</x:v>
      </x:c>
    </x:row>
    <x:row r="62" ht="38" customHeight="1">
      <x:c r="A62" s="2" t="str">
        <x:v>Prop_Lab_Halloween_SkullEffigy</x:v>
      </x:c>
      <x:c r="B62" s="2" t="str">
        <x:v>Prop</x:v>
      </x:c>
      <x:c r="C62" s="2" t="str">
        <x:v>Labyrinth</x:v>
      </x:c>
      <x:c r="D62" s="4" t="str">
        <x:v>Labyrinth-exclusive Halloween scenery: SkullEffigy</x:v>
      </x:c>
      <x:c r="E62" s="6" t="n">
        <x:v>420</x:v>
      </x:c>
      <x:c r="F62" s="2" t="str">
        <x:v>static</x:v>
      </x:c>
      <x:c r="G62" s="4" t="str"/>
      <x:c r="H62" s="2" t="str">
        <x:v>Validated</x:v>
      </x:c>
      <x:c r="I62" s="2" t="str">
        <x:v>Pending</x:v>
      </x:c>
      <x:c r="J62" s="2" t="str">
        <x:v>Binding pending</x:v>
      </x:c>
      <x:c r="K62" s="2" t="str">
        <x:v>halloween/Prop_Lab_Halloween_SkullEffigy.glb</x:v>
      </x:c>
      <x:c r="L62" s="2" t="str">
        <x:v>e2aef2d5e42e0b37b1367bfb159c321de0376c87b2000710eea989e8939cd385</x:v>
      </x:c>
    </x:row>
    <x:row r="63" ht="38" customHeight="1">
      <x:c r="A63" s="2" t="str">
        <x:v>Prop_Lab_Halloween_Gravestone</x:v>
      </x:c>
      <x:c r="B63" s="2" t="str">
        <x:v>Prop</x:v>
      </x:c>
      <x:c r="C63" s="2" t="str">
        <x:v>Labyrinth</x:v>
      </x:c>
      <x:c r="D63" s="4" t="str">
        <x:v>Labyrinth-exclusive Halloween scenery: Gravestone</x:v>
      </x:c>
      <x:c r="E63" s="6" t="n">
        <x:v>296</x:v>
      </x:c>
      <x:c r="F63" s="2" t="str">
        <x:v>static</x:v>
      </x:c>
      <x:c r="G63" s="4" t="str"/>
      <x:c r="H63" s="2" t="str">
        <x:v>Validated</x:v>
      </x:c>
      <x:c r="I63" s="2" t="str">
        <x:v>Pending</x:v>
      </x:c>
      <x:c r="J63" s="2" t="str">
        <x:v>Binding pending</x:v>
      </x:c>
      <x:c r="K63" s="2" t="str">
        <x:v>halloween/Prop_Lab_Halloween_Gravestone.glb</x:v>
      </x:c>
      <x:c r="L63" s="2" t="str">
        <x:v>85bcf39d26346b9f611072a0b03a794ae4b4eac2e4ac3f96f0954b006033be17</x:v>
      </x:c>
    </x:row>
    <x:row r="64" ht="38" customHeight="1">
      <x:c r="A64" s="2" t="str">
        <x:v>Prop_Lab_Halloween_Coffin</x:v>
      </x:c>
      <x:c r="B64" s="2" t="str">
        <x:v>Prop</x:v>
      </x:c>
      <x:c r="C64" s="2" t="str">
        <x:v>Labyrinth</x:v>
      </x:c>
      <x:c r="D64" s="4" t="str">
        <x:v>Labyrinth-exclusive Halloween scenery: Coffin</x:v>
      </x:c>
      <x:c r="E64" s="6" t="n">
        <x:v>220</x:v>
      </x:c>
      <x:c r="F64" s="2" t="str">
        <x:v>static</x:v>
      </x:c>
      <x:c r="G64" s="4" t="str"/>
      <x:c r="H64" s="2" t="str">
        <x:v>Validated</x:v>
      </x:c>
      <x:c r="I64" s="2" t="str">
        <x:v>Pending</x:v>
      </x:c>
      <x:c r="J64" s="2" t="str">
        <x:v>Binding pending</x:v>
      </x:c>
      <x:c r="K64" s="2" t="str">
        <x:v>halloween/Prop_Lab_Halloween_Coffin.glb</x:v>
      </x:c>
      <x:c r="L64" s="2" t="str">
        <x:v>e5e34fc5a86bcdef85f0241523a550ba806a9bbe620f1fe0c2adf627a5493cf0</x:v>
      </x:c>
    </x:row>
    <x:row r="65" ht="38" customHeight="1">
      <x:c r="A65" s="2" t="str">
        <x:v>Prop_Lab_Halloween_Cauldron</x:v>
      </x:c>
      <x:c r="B65" s="2" t="str">
        <x:v>Prop</x:v>
      </x:c>
      <x:c r="C65" s="2" t="str">
        <x:v>Labyrinth</x:v>
      </x:c>
      <x:c r="D65" s="4" t="str">
        <x:v>Labyrinth-exclusive Halloween scenery: Cauldron</x:v>
      </x:c>
      <x:c r="E65" s="6" t="n">
        <x:v>776</x:v>
      </x:c>
      <x:c r="F65" s="2" t="str">
        <x:v>static</x:v>
      </x:c>
      <x:c r="G65" s="4" t="str"/>
      <x:c r="H65" s="2" t="str">
        <x:v>Validated</x:v>
      </x:c>
      <x:c r="I65" s="2" t="str">
        <x:v>Pending</x:v>
      </x:c>
      <x:c r="J65" s="2" t="str">
        <x:v>Binding pending</x:v>
      </x:c>
      <x:c r="K65" s="2" t="str">
        <x:v>halloween/Prop_Lab_Halloween_Cauldron.glb</x:v>
      </x:c>
      <x:c r="L65" s="2" t="str">
        <x:v>103f3bdff559c24118684fc78c6591d1147ca4ce4f005d769ea7e9cd55831c91</x:v>
      </x:c>
    </x:row>
    <x:row r="66" ht="38" customHeight="1">
      <x:c r="A66" s="1" t="str">
        <x:v>Prop_Lab_Halloween_CandleCluster</x:v>
      </x:c>
      <x:c r="B66" s="1" t="str">
        <x:v>Prop</x:v>
      </x:c>
      <x:c r="C66" s="1" t="str">
        <x:v>Labyrinth</x:v>
      </x:c>
      <x:c r="D66" s="5" t="str">
        <x:v>Labyrinth-exclusive Halloween scenery: CandleCluster</x:v>
      </x:c>
      <x:c r="E66" s="7" t="n">
        <x:v>512</x:v>
      </x:c>
      <x:c r="F66" s="1" t="str">
        <x:v>static</x:v>
      </x:c>
      <x:c r="G66" s="5" t="str"/>
      <x:c r="H66" s="1" t="str">
        <x:v>Validated</x:v>
      </x:c>
      <x:c r="I66" s="1" t="str">
        <x:v>Pending</x:v>
      </x:c>
      <x:c r="J66" s="1" t="str">
        <x:v>Binding pending</x:v>
      </x:c>
      <x:c r="K66" s="1" t="str">
        <x:v>halloween/Prop_Lab_Halloween_CandleCluster.glb</x:v>
      </x:c>
      <x:c r="L66" s="1" t="str">
        <x:v>0c3861b58d3911f71e810ec532ffcdd049f2811b264e11cb03b14ca1b15f7db1</x:v>
      </x:c>
    </x:row>
    <x:row r="67" ht="38" customHeight="1">
      <x:c r="A67" s="1" t="str">
        <x:v>Prop_Lab_Halloween_FriendlyGhostLantern</x:v>
      </x:c>
      <x:c r="B67" s="1" t="str">
        <x:v>Prop</x:v>
      </x:c>
      <x:c r="C67" s="1" t="str">
        <x:v>Labyrinth</x:v>
      </x:c>
      <x:c r="D67" s="5" t="str">
        <x:v>Labyrinth-exclusive Halloween scenery: FriendlyGhostLantern</x:v>
      </x:c>
      <x:c r="E67" s="7" t="n">
        <x:v>484</x:v>
      </x:c>
      <x:c r="F67" s="1" t="str">
        <x:v>static</x:v>
      </x:c>
      <x:c r="G67" s="5" t="str"/>
      <x:c r="H67" s="1" t="str">
        <x:v>Validated</x:v>
      </x:c>
      <x:c r="I67" s="1" t="str">
        <x:v>Pending</x:v>
      </x:c>
      <x:c r="J67" s="1" t="str">
        <x:v>Binding pending</x:v>
      </x:c>
      <x:c r="K67" s="1" t="str">
        <x:v>halloween/Prop_Lab_Halloween_FriendlyGhostLantern.glb</x:v>
      </x:c>
      <x:c r="L67" s="1" t="str">
        <x:v>701e9e141903d7b126f67fcfa688a5711fd067b5cb4056a4cf4fcd3f8a5c6030</x:v>
      </x:c>
    </x:row>
    <x:row r="68" ht="38" customHeight="1">
      <x:c r="A68" s="1" t="str">
        <x:v>Prop_Lab_Halloween_WitchHatStand</x:v>
      </x:c>
      <x:c r="B68" s="1" t="str">
        <x:v>Prop</x:v>
      </x:c>
      <x:c r="C68" s="1" t="str">
        <x:v>Labyrinth</x:v>
      </x:c>
      <x:c r="D68" s="5" t="str">
        <x:v>Labyrinth-exclusive Halloween scenery: WitchHatStand</x:v>
      </x:c>
      <x:c r="E68" s="7" t="n">
        <x:v>326</x:v>
      </x:c>
      <x:c r="F68" s="1" t="str">
        <x:v>static</x:v>
      </x:c>
      <x:c r="G68" s="5" t="str"/>
      <x:c r="H68" s="1" t="str">
        <x:v>Validated</x:v>
      </x:c>
      <x:c r="I68" s="1" t="str">
        <x:v>Pending</x:v>
      </x:c>
      <x:c r="J68" s="1" t="str">
        <x:v>Binding pending</x:v>
      </x:c>
      <x:c r="K68" s="1" t="str">
        <x:v>halloween/Prop_Lab_Halloween_WitchHatStand.glb</x:v>
      </x:c>
      <x:c r="L68" s="1" t="str">
        <x:v>ac50ffeadb7c0b7d2f7da2b363053e2cbae8d945757c845627650b5c4d6478d1</x:v>
      </x:c>
    </x:row>
    <x:row r="69" ht="38" customHeight="1">
      <x:c r="A69" s="1" t="str">
        <x:v>Prop_Lab_Halloween_CrowPerch</x:v>
      </x:c>
      <x:c r="B69" s="1" t="str">
        <x:v>Prop</x:v>
      </x:c>
      <x:c r="C69" s="1" t="str">
        <x:v>Labyrinth</x:v>
      </x:c>
      <x:c r="D69" s="5" t="str">
        <x:v>Labyrinth-exclusive Halloween scenery: CrowPerch</x:v>
      </x:c>
      <x:c r="E69" s="7" t="n">
        <x:v>390</x:v>
      </x:c>
      <x:c r="F69" s="1" t="str">
        <x:v>static</x:v>
      </x:c>
      <x:c r="G69" s="5" t="str"/>
      <x:c r="H69" s="1" t="str">
        <x:v>Validated</x:v>
      </x:c>
      <x:c r="I69" s="1" t="str">
        <x:v>Pending</x:v>
      </x:c>
      <x:c r="J69" s="1" t="str">
        <x:v>Binding pending</x:v>
      </x:c>
      <x:c r="K69" s="1" t="str">
        <x:v>halloween/Prop_Lab_Halloween_CrowPerch.glb</x:v>
      </x:c>
      <x:c r="L69" s="1" t="str">
        <x:v>e69b34487e5f19d59ee3a6ffac28b7b8c13c21fa80024626e16734766705101d</x:v>
      </x:c>
    </x:row>
    <x:row r="70" ht="38" customHeight="1">
      <x:c r="A70" s="1" t="str">
        <x:v>Prop_Lab_Halloween_CobwebFrame</x:v>
      </x:c>
      <x:c r="B70" s="1" t="str">
        <x:v>Prop</x:v>
      </x:c>
      <x:c r="C70" s="1" t="str">
        <x:v>Labyrinth</x:v>
      </x:c>
      <x:c r="D70" s="5" t="str">
        <x:v>Labyrinth-exclusive Halloween scenery: CobwebFrame</x:v>
      </x:c>
      <x:c r="E70" s="7" t="n">
        <x:v>1084</x:v>
      </x:c>
      <x:c r="F70" s="1" t="str">
        <x:v>static</x:v>
      </x:c>
      <x:c r="G70" s="5" t="str"/>
      <x:c r="H70" s="1" t="str">
        <x:v>Validated</x:v>
      </x:c>
      <x:c r="I70" s="1" t="str">
        <x:v>Pending</x:v>
      </x:c>
      <x:c r="J70" s="1" t="str">
        <x:v>Binding pending</x:v>
      </x:c>
      <x:c r="K70" s="1" t="str">
        <x:v>halloween/Prop_Lab_Halloween_CobwebFrame.glb</x:v>
      </x:c>
      <x:c r="L70" s="1" t="str">
        <x:v>39794c3573854ee35fe9fde63a2d2d7d79f5cbffc333c51aefdd6a411bf796c8</x:v>
      </x:c>
    </x:row>
    <x:row r="71" ht="38" customHeight="1">
      <x:c r="A71" s="1" t="str">
        <x:v>Prop_Lab_Halloween_CryptGate</x:v>
      </x:c>
      <x:c r="B71" s="1" t="str">
        <x:v>Prop</x:v>
      </x:c>
      <x:c r="C71" s="1" t="str">
        <x:v>Labyrinth</x:v>
      </x:c>
      <x:c r="D71" s="5" t="str">
        <x:v>Labyrinth-exclusive Halloween scenery: CryptGate</x:v>
      </x:c>
      <x:c r="E71" s="7" t="n">
        <x:v>320</x:v>
      </x:c>
      <x:c r="F71" s="1" t="str">
        <x:v>static</x:v>
      </x:c>
      <x:c r="G71" s="5" t="str"/>
      <x:c r="H71" s="1" t="str">
        <x:v>Validated</x:v>
      </x:c>
      <x:c r="I71" s="1" t="str">
        <x:v>Pending</x:v>
      </x:c>
      <x:c r="J71" s="1" t="str">
        <x:v>Binding pending</x:v>
      </x:c>
      <x:c r="K71" s="1" t="str">
        <x:v>halloween/Prop_Lab_Halloween_CryptGate.glb</x:v>
      </x:c>
      <x:c r="L71" s="1" t="str">
        <x:v>4723bd4af08b65f72afbf1ff2a2fe47a51572412fef9a58ec6551ff1fec07785</x:v>
      </x:c>
    </x:row>
    <x:row r="72" ht="38" customHeight="1">
      <x:c r="A72" s="1" t="str">
        <x:v>Prop_Lab_Halloween_PumpkinCrate</x:v>
      </x:c>
      <x:c r="B72" s="1" t="str">
        <x:v>Prop</x:v>
      </x:c>
      <x:c r="C72" s="1" t="str">
        <x:v>Labyrinth</x:v>
      </x:c>
      <x:c r="D72" s="5" t="str">
        <x:v>Labyrinth-exclusive Halloween scenery: PumpkinCrate</x:v>
      </x:c>
      <x:c r="E72" s="7" t="n">
        <x:v>664</x:v>
      </x:c>
      <x:c r="F72" s="1" t="str">
        <x:v>static</x:v>
      </x:c>
      <x:c r="G72" s="5" t="str"/>
      <x:c r="H72" s="1" t="str">
        <x:v>Validated</x:v>
      </x:c>
      <x:c r="I72" s="1" t="str">
        <x:v>Pending</x:v>
      </x:c>
      <x:c r="J72" s="1" t="str">
        <x:v>Binding pending</x:v>
      </x:c>
      <x:c r="K72" s="1" t="str">
        <x:v>halloween/Prop_Lab_Halloween_PumpkinCrate.glb</x:v>
      </x:c>
      <x:c r="L72" s="1" t="str">
        <x:v>bc0c500da953fe2dd5b69ee5e8f3d8837dfd9fd049f9faf93d7e7baab23c8758</x:v>
      </x:c>
    </x:row>
  </x:sheetData>
  <x:dataValidations count="2">
    <x:dataValidation type="list" sqref="I6:I72">
      <x:formula1>"Pending,Imported,Play proven"</x:formula1>
    </x:dataValidation>
    <x:dataValidation type="list" sqref="J6:J72">
      <x:formula1>"Binding pending,Core tested,Play proven"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40" hidden="0" customWidth="1"/>
    <x:col min="3" max="3" width="50" hidden="0" customWidth="1"/>
    <x:col min="4" max="4" width="24" hidden="0" customWidth="1"/>
    <x:col min="5" max="5" width="57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Labyrinth mechanics and story build list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Source: cast role brief and new art-led proposals. Values and rewards await director review.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6" customHeight="1">
      <x:c r="A5" s="12" t="str">
        <x:v>ID</x:v>
      </x:c>
      <x:c r="B5" s="12" t="str">
        <x:v>Mechanic / quest</x:v>
      </x:c>
      <x:c r="C5" s="12" t="str">
        <x:v>Relevant assets</x:v>
      </x:c>
      <x:c r="D5" s="12" t="str">
        <x:v>Implementation</x:v>
      </x:c>
      <x:c r="E5" s="12" t="str">
        <x:v>Story consequence</x:v>
      </x:c>
      <x:c r="F5" s="2"/>
      <x:c r="G5" s="2"/>
      <x:c r="H5" s="2"/>
      <x:c r="I5" s="2"/>
      <x:c r="J5" s="2"/>
      <x:c r="K5" s="2"/>
      <x:c r="L5" s="2"/>
    </x:row>
    <x:row r="6" ht="46" customHeight="1">
      <x:c r="A6" s="2" t="str">
        <x:v>LAB01</x:v>
      </x:c>
      <x:c r="B6" s="4" t="str">
        <x:v>Chalk marks with limited charges</x:v>
      </x:c>
      <x:c r="C6" s="4" t="str">
        <x:v>ChalkMarker, ChalkEater, ChalkKitten</x:v>
      </x:c>
      <x:c r="D6" s="4" t="str">
        <x:v>Portable core tested</x:v>
      </x:c>
      <x:c r="E6" s="4" t="str">
        <x:v>Learn that a route can be changed without losing quest progress</x:v>
      </x:c>
      <x:c r="F6" s="2"/>
      <x:c r="G6" s="2"/>
      <x:c r="H6" s="2"/>
      <x:c r="I6" s="2"/>
      <x:c r="J6" s="2"/>
      <x:c r="K6" s="2"/>
      <x:c r="L6" s="2"/>
    </x:row>
    <x:row r="7" ht="46" customHeight="1">
      <x:c r="A7" s="2" t="str">
        <x:v>LAB02</x:v>
      </x:c>
      <x:c r="B7" s="4" t="str">
        <x:v>Thread route anchored at safe points</x:v>
      </x:c>
      <x:c r="C7" s="4" t="str">
        <x:v>ThreadSpinnerAri, ThreadAnchor, ThreadMoth</x:v>
      </x:c>
      <x:c r="D7" s="4" t="str">
        <x:v>Proposed</x:v>
      </x:c>
      <x:c r="E7" s="4" t="str">
        <x:v>Bring the lost survey party home</x:v>
      </x:c>
      <x:c r="F7" s="2"/>
      <x:c r="G7" s="2"/>
      <x:c r="H7" s="2"/>
      <x:c r="I7" s="2"/>
      <x:c r="J7" s="2"/>
      <x:c r="K7" s="2"/>
      <x:c r="L7" s="2"/>
    </x:row>
    <x:row r="8" ht="46" customHeight="1">
      <x:c r="A8" s="2" t="str">
        <x:v>LAB03</x:v>
      </x:c>
      <x:c r="B8" s="4" t="str">
        <x:v>Echo bell timing gate</x:v>
      </x:c>
      <x:c r="C8" s="4" t="str">
        <x:v>EchoBell, EchoHermit, EchoCricket</x:v>
      </x:c>
      <x:c r="D8" s="4" t="str">
        <x:v>Proposed</x:v>
      </x:c>
      <x:c r="E8" s="4" t="str">
        <x:v>Listen to the maze before trusting a map</x:v>
      </x:c>
      <x:c r="F8" s="2"/>
      <x:c r="G8" s="2"/>
      <x:c r="H8" s="2"/>
      <x:c r="I8" s="2"/>
      <x:c r="J8" s="2"/>
      <x:c r="K8" s="2"/>
      <x:c r="L8" s="2"/>
    </x:row>
    <x:row r="9" ht="46" customHeight="1">
      <x:c r="A9" s="2" t="str">
        <x:v>LAB04</x:v>
      </x:c>
      <x:c r="B9" s="4" t="str">
        <x:v>Compare two unreliable maps</x:v>
      </x:c>
      <x:c r="C9" s="4" t="str">
        <x:v>LostCartographer, ArchitectApprentice</x:v>
      </x:c>
      <x:c r="D9" s="4" t="str">
        <x:v>Proposed</x:v>
      </x:c>
      <x:c r="E9" s="4" t="str">
        <x:v>Repair the Broken Survey</x:v>
      </x:c>
      <x:c r="F9" s="2"/>
      <x:c r="G9" s="2"/>
      <x:c r="H9" s="2"/>
      <x:c r="I9" s="2"/>
      <x:c r="J9" s="2"/>
      <x:c r="K9" s="2"/>
      <x:c r="L9" s="2"/>
    </x:row>
    <x:row r="10" ht="46" customHeight="1">
      <x:c r="A10" s="2" t="str">
        <x:v>LAB05</x:v>
      </x:c>
      <x:c r="B10" s="4" t="str">
        <x:v>Care before a sky-strider ride</x:v>
      </x:c>
      <x:c r="C10" s="4" t="str">
        <x:v>StriderTamerOona, SkyStrider, StriderPerch</x:v>
      </x:c>
      <x:c r="D10" s="4" t="str">
        <x:v>Proposed</x:v>
      </x:c>
      <x:c r="E10" s="4" t="str">
        <x:v>Earn a safer return route</x:v>
      </x:c>
      <x:c r="F10" s="2"/>
      <x:c r="G10" s="2"/>
      <x:c r="H10" s="2"/>
      <x:c r="I10" s="2"/>
      <x:c r="J10" s="2"/>
      <x:c r="K10" s="2"/>
      <x:c r="L10" s="2"/>
    </x:row>
    <x:row r="11" ht="46" customHeight="1">
      <x:c r="A11" s="2" t="str">
        <x:v>LAB06</x:v>
      </x:c>
      <x:c r="B11" s="4" t="str">
        <x:v>Calm Hornbacks with water and space</x:v>
      </x:c>
      <x:c r="C11" s="4" t="str">
        <x:v>HerdWardenTobi, HornbackBull, HornbackTrough</x:v>
      </x:c>
      <x:c r="D11" s="4" t="str">
        <x:v>Proposed</x:v>
      </x:c>
      <x:c r="E11" s="4" t="str">
        <x:v>Replace a dangerous stampede with a guided passage</x:v>
      </x:c>
      <x:c r="F11" s="2"/>
      <x:c r="G11" s="2"/>
      <x:c r="H11" s="2"/>
      <x:c r="I11" s="2"/>
      <x:c r="J11" s="2"/>
      <x:c r="K11" s="2"/>
      <x:c r="L11" s="2"/>
    </x:row>
    <x:row r="12" ht="46" customHeight="1">
      <x:c r="A12" s="2" t="str">
        <x:v>LAB07</x:v>
      </x:c>
      <x:c r="B12" s="4" t="str">
        <x:v>Twin Doors truth/lie puzzle</x:v>
      </x:c>
      <x:c r="C12" s="4" t="str">
        <x:v>TwinDoors, GateRiddler, GateArch</x:v>
      </x:c>
      <x:c r="D12" s="4" t="str">
        <x:v>Proposed</x:v>
      </x:c>
      <x:c r="E12" s="4" t="str">
        <x:v>Open the archive through reasoning</x:v>
      </x:c>
      <x:c r="F12" s="2"/>
      <x:c r="G12" s="2"/>
      <x:c r="H12" s="2"/>
      <x:c r="I12" s="2"/>
      <x:c r="J12" s="2"/>
      <x:c r="K12" s="2"/>
      <x:c r="L12" s="2"/>
    </x:row>
    <x:row r="13" ht="46" customHeight="1">
      <x:c r="A13" s="2" t="str">
        <x:v>LAB08</x:v>
      </x:c>
      <x:c r="B13" s="4" t="str">
        <x:v>Folding Maze boss changes safe corridors</x:v>
      </x:c>
      <x:c r="C13" s="4" t="str">
        <x:v>FoldingMaze, WallMimic, Wall4m</x:v>
      </x:c>
      <x:c r="D13" s="4" t="str">
        <x:v>Proposed</x:v>
      </x:c>
      <x:c r="E13" s="4" t="str">
        <x:v>Restore an exit without destroying the living maze</x:v>
      </x:c>
      <x:c r="F13" s="2"/>
      <x:c r="G13" s="2"/>
      <x:c r="H13" s="2"/>
      <x:c r="I13" s="2"/>
      <x:c r="J13" s="2"/>
      <x:c r="K13" s="2"/>
      <x:c r="L13" s="2"/>
    </x:row>
    <x:row r="14" ht="46" customHeight="1">
      <x:c r="A14" s="2" t="str">
        <x:v>LAB09</x:v>
      </x:c>
      <x:c r="B14" s="4" t="str">
        <x:v>Halloween belongs only in Labyrinth</x:v>
      </x:c>
      <x:c r="C14" s="4" t="str">
        <x:v>Twelve Halloween scenery props</x:v>
      </x:c>
      <x:c r="D14" s="4" t="str">
        <x:v>Art built. Binding pending</x:v>
      </x:c>
      <x:c r="E14" s="4" t="str">
        <x:v>The maze keeps the seasonal folklore</x:v>
      </x:c>
      <x:c r="F14" s="2"/>
      <x:c r="G14" s="2"/>
      <x:c r="H14" s="2"/>
      <x:c r="I14" s="2"/>
      <x:c r="J14" s="2"/>
      <x:c r="K14" s="2"/>
      <x:c r="L14" s="2"/>
    </x:row>
    <x:row r="15" ht="46" customHeight="1">
      <x:c r="A15" s="2" t="str">
        <x:v>LAB10</x:v>
      </x:c>
      <x:c r="B15" s="4" t="str">
        <x:v>Carnivorous plants help and defend players</x:v>
      </x:c>
      <x:c r="C15" s="4" t="str">
        <x:v>VenusGuide, PitcherMedic, SundewGuardian</x:v>
      </x:c>
      <x:c r="D15" s="4" t="str">
        <x:v>Portable policy tested</x:v>
      </x:c>
      <x:c r="E15" s="4" t="str">
        <x:v>Kindness can grow in frightening places</x:v>
      </x:c>
      <x:c r="F15" s="2"/>
      <x:c r="G15" s="2"/>
      <x:c r="H15" s="2"/>
      <x:c r="I15" s="2"/>
      <x:c r="J15" s="2"/>
      <x:c r="K15" s="2"/>
      <x:c r="L15" s="2"/>
    </x:row>
    <x:row r="16" ht="46" customHeight="1">
      <x:c r="A16" s="2" t="str">
        <x:v>LAB11</x:v>
      </x:c>
      <x:c r="B16" s="4" t="str">
        <x:v>Plant aid quests teach care before reward</x:v>
      </x:c>
      <x:c r="C16" s="4" t="str">
        <x:v>Friendly plants, trough, route markers</x:v>
      </x:c>
      <x:c r="D16" s="4" t="str">
        <x:v>Proposed</x:v>
      </x:c>
      <x:c r="E16" s="4" t="str">
        <x:v>Help the helpers maintain safe passages</x:v>
      </x:c>
      <x:c r="F16" s="2"/>
      <x:c r="G16" s="2"/>
      <x:c r="H16" s="2"/>
      <x:c r="I16" s="2"/>
      <x:c r="J16" s="2"/>
      <x:c r="K16" s="2"/>
      <x:c r="L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</x:sheetData>
  <x:pageMargins left="0.7" right="0.7" top="0.75" bottom="0.75" header="0.3" footer="0.3"/>
</x:worksheet>
</file>