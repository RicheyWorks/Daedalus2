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9db6600c2d4b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8d59d978cc504f98"/>
    <x:sheet xmlns:r="http://schemas.openxmlformats.org/officeDocument/2006/relationships" name="Assets" sheetId="2" r:id="R95ce1c4a5dd64fe5"/>
    <x:sheet xmlns:r="http://schemas.openxmlformats.org/officeDocument/2006/relationships" name="Mechanics" sheetId="3" r:id="R6d4af758d069471a"/>
    <x:sheet xmlns:r="http://schemas.openxmlformats.org/officeDocument/2006/relationships" name="Unreal verification" sheetId="4" r:id="R56e7db0ea23348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E8F5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021f8a82ad4662" /><Relationship Type="http://schemas.openxmlformats.org/officeDocument/2006/relationships/theme" Target="/xl/theme/theme1.xml" Id="R8c3083aeb8c44539" /><Relationship Type="http://schemas.openxmlformats.org/officeDocument/2006/relationships/sharedStrings" Target="/xl/sharedStrings.xml" Id="Re7d7dac07e7c4a55" /><Relationship Type="http://schemas.openxmlformats.org/officeDocument/2006/relationships/worksheet" Target="/xl/worksheets/sheet1.xml" Id="R8d59d978cc504f98" /><Relationship Type="http://schemas.openxmlformats.org/officeDocument/2006/relationships/worksheet" Target="/xl/worksheets/sheet2.xml" Id="R95ce1c4a5dd64fe5" /><Relationship Type="http://schemas.openxmlformats.org/officeDocument/2006/relationships/worksheet" Target="/xl/worksheets/sheet3.xml" Id="R6d4af758d069471a" /><Relationship Type="http://schemas.openxmlformats.org/officeDocument/2006/relationships/worksheet" Target="/xl/worksheets/sheet4.xml" Id="R56e7db0ea23348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SUMIFS(Assets!$M$6:$M$348,Assets!$C$6:$C$348,A7)</x:f>
        <x:v>35</x:v>
      </x:c>
      <x:c r="E7" s="6" t="n">
        <x:f>COUNTIFS(Assets!$C$6:$C$348,A7,Assets!$B$6:$B$348,"Character",Assets!$H$6:$H$348,"Validated")</x:f>
        <x:v>35</x:v>
      </x:c>
      <x:c r="F7" s="6" t="n">
        <x:f>COUNTIFS(Assets!$C$6:$C$348,A7,Assets!$B$6:$B$348,"Character",Assets!$I$6:$I$348,"Play proven")</x:f>
        <x:v>0</x:v>
      </x:c>
      <x:c r="G7" s="6" t="n">
        <x:f>C7-D7</x:f>
        <x:v>0</x:v>
      </x:c>
      <x:c r="H7" s="6" t="n">
        <x:f>COUNTIFS(Assets!$C$6:$C$348,A7)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SUMIFS(Assets!$M$6:$M$348,Assets!$C$6:$C$348,A8)</x:f>
        <x:v>32</x:v>
      </x:c>
      <x:c r="E8" s="2" t="n">
        <x:f>COUNTIFS(Assets!$C$6:$C$348,A8,Assets!$B$6:$B$348,"Character",Assets!$H$6:$H$348,"Validated")</x:f>
        <x:v>32</x:v>
      </x:c>
      <x:c r="F8" s="2" t="n">
        <x:f>COUNTIFS(Assets!$C$6:$C$348,A8,Assets!$B$6:$B$348,"Character",Assets!$I$6:$I$348,"Play proven")</x:f>
        <x:v>0</x:v>
      </x:c>
      <x:c r="G8" s="2" t="n">
        <x:f>C8-D8</x:f>
        <x:v>0</x:v>
      </x:c>
      <x:c r="H8" s="2" t="n">
        <x:f>COUNTIFS(Assets!$C$6:$C$348,A8)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SUMIFS(Assets!$M$6:$M$348,Assets!$C$6:$C$348,A9)</x:f>
        <x:v>33</x:v>
      </x:c>
      <x:c r="E9" s="2" t="n">
        <x:f>COUNTIFS(Assets!$C$6:$C$348,A9,Assets!$B$6:$B$348,"Character",Assets!$H$6:$H$348,"Validated")</x:f>
        <x:v>77</x:v>
      </x:c>
      <x:c r="F9" s="2" t="n">
        <x:f>COUNTIFS(Assets!$C$6:$C$348,A9,Assets!$B$6:$B$348,"Character",Assets!$I$6:$I$348,"Play proven")</x:f>
        <x:v>0</x:v>
      </x:c>
      <x:c r="G9" s="2" t="n">
        <x:f>C9-D9</x:f>
        <x:v>0</x:v>
      </x:c>
      <x:c r="H9" s="2" t="n">
        <x:f>COUNTIFS(Assets!$C$6:$C$348,A9)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SUMIFS(Assets!$M$6:$M$348,Assets!$C$6:$C$348,A10)</x:f>
        <x:v>32</x:v>
      </x:c>
      <x:c r="E10" s="2" t="n">
        <x:f>COUNTIFS(Assets!$C$6:$C$348,A10,Assets!$B$6:$B$348,"Character",Assets!$H$6:$H$348,"Validated")</x:f>
        <x:v>32</x:v>
      </x:c>
      <x:c r="F10" s="2" t="n">
        <x:f>COUNTIFS(Assets!$C$6:$C$348,A10,Assets!$B$6:$B$348,"Character",Assets!$I$6:$I$348,"Play proven")</x:f>
        <x:v>0</x:v>
      </x:c>
      <x:c r="G10" s="2" t="n">
        <x:f>C10-D10</x:f>
        <x:v>0</x:v>
      </x:c>
      <x:c r="H10" s="2" t="n">
        <x:f>COUNTIFS(Assets!$C$6:$C$348,A10)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SUMIFS(Assets!$M$6:$M$348,Assets!$C$6:$C$348,A11)</x:f>
        <x:v>32</x:v>
      </x:c>
      <x:c r="E11" s="2" t="n">
        <x:f>COUNTIFS(Assets!$C$6:$C$348,A11,Assets!$B$6:$B$348,"Character",Assets!$H$6:$H$348,"Validated")</x:f>
        <x:v>32</x:v>
      </x:c>
      <x:c r="F11" s="2" t="n">
        <x:f>COUNTIFS(Assets!$C$6:$C$348,A11,Assets!$B$6:$B$348,"Character",Assets!$I$6:$I$348,"Play proven")</x:f>
        <x:v>0</x:v>
      </x:c>
      <x:c r="G11" s="2" t="n">
        <x:f>C11-D11</x:f>
        <x:v>0</x:v>
      </x:c>
      <x:c r="H11" s="2" t="n">
        <x:f>COUNTIFS(Assets!$C$6:$C$348,A11)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SUMIFS(Assets!$M$6:$M$348,Assets!$C$6:$C$348,A12)</x:f>
        <x:v>0</x:v>
      </x:c>
      <x:c r="E12" s="2" t="n">
        <x:f>COUNTIFS(Assets!$C$6:$C$348,A12,Assets!$B$6:$B$348,"Character",Assets!$H$6:$H$348,"Validated")</x:f>
        <x:v>0</x:v>
      </x:c>
      <x:c r="F12" s="2" t="n">
        <x:f>COUNTIFS(Assets!$C$6:$C$348,A12,Assets!$B$6:$B$348,"Character",Assets!$I$6:$I$348,"Play proven")</x:f>
        <x:v>0</x:v>
      </x:c>
      <x:c r="G12" s="2" t="str">
        <x:f>IF(C12="","",C12-D12)</x:f>
      </x:c>
      <x:c r="H12" s="2" t="n">
        <x:f>COUNTIF(Assets!C6:C348,A12)</x:f>
        <x:v>4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SUM(Assets!E6:E348)</x:f>
        <x:v>379408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COUNTIFS(Assets!B6:B348,"Prop")+COUNTIFS(Assets!B6:B348,"Item")</x:f>
        <x:v>134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343 unique asset references. Three Ocean props add no character roles. Export and inspection are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terrain and vessel props add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  <x:row r="346">
      <x:c r="A346" s="5" t="str">
        <x:v>Prop_Ocean_TideSkiff</x:v>
      </x:c>
      <x:c r="B346" s="5" t="str">
        <x:v>Prop</x:v>
      </x:c>
      <x:c r="C346" s="5" t="str">
        <x:v>Ocean Realm</x:v>
      </x:c>
      <x:c r="D346" s="5" t="str">
        <x:v>Dock boat; helm/boarding presentation</x:v>
      </x:c>
      <x:c r="E346" s="5" t="n">
        <x:v>1766</x:v>
      </x:c>
      <x:c r="F346" s="5" t="str">
        <x:v>static</x:v>
      </x:c>
      <x:c r="G346" s="5" t="n">
        <x:v>0</x:v>
      </x:c>
      <x:c r="H346" s="32" t="str">
        <x:v>Validated</x:v>
      </x:c>
      <x:c r="I346" s="32" t="str">
        <x:v>Private import</x:v>
      </x:c>
      <x:c r="J346" s="5" t="str">
        <x:v>Dock travel binding pending</x:v>
      </x:c>
      <x:c r="K346" s="5" t="str">
        <x:v>ocean-vessels/Prop_Ocean_TideSkiff.glb</x:v>
      </x:c>
      <x:c r="L346" s="5" t="str">
        <x:v>9f34d5b569225a847599283e0d65d62e348b171305a09167fb4554fd2a1b2b18</x:v>
      </x:c>
      <x:c r="M346" s="5" t="n">
        <x:v>0</x:v>
      </x:c>
      <x:c r="N346" s="5" t="str">
        <x:v>n.a.</x:v>
      </x:c>
      <x:c r="O346" s="5" t="str">
        <x:v>n.a.</x:v>
      </x:c>
      <x:c r="P346" s="5" t="n">
        <x:v>0</x:v>
      </x:c>
      <x:c r="Q346" s="5" t="str">
        <x:v>Original Codex Blender mesh; private Unreal inspection</x:v>
      </x:c>
    </x:row>
    <x:row r="347">
      <x:c r="A347" s="5" t="str">
        <x:v>Prop_Ocean_CoralSubmarine</x:v>
      </x:c>
      <x:c r="B347" s="5" t="str">
        <x:v>Prop</x:v>
      </x:c>
      <x:c r="C347" s="5" t="str">
        <x:v>Ocean Realm</x:v>
      </x:c>
      <x:c r="D347" s="5" t="str">
        <x:v>Submerged dock vessel; dive/helm presentation</x:v>
      </x:c>
      <x:c r="E347" s="5" t="n">
        <x:v>6676</x:v>
      </x:c>
      <x:c r="F347" s="5" t="str">
        <x:v>static</x:v>
      </x:c>
      <x:c r="G347" s="5" t="n">
        <x:v>0</x:v>
      </x:c>
      <x:c r="H347" s="32" t="str">
        <x:v>Validated</x:v>
      </x:c>
      <x:c r="I347" s="32" t="str">
        <x:v>Private import</x:v>
      </x:c>
      <x:c r="J347" s="5" t="str">
        <x:v>Dock travel binding pending</x:v>
      </x:c>
      <x:c r="K347" s="5" t="str">
        <x:v>ocean-vessels/Prop_Ocean_CoralSubmarine.glb</x:v>
      </x:c>
      <x:c r="L347" s="5" t="str">
        <x:v>f96f8b14a75d87bc92dd44b841790a7da36fb87f22c7827ebe8dd6da658fab82</x:v>
      </x:c>
      <x:c r="M347" s="5" t="n">
        <x:v>0</x:v>
      </x:c>
      <x:c r="N347" s="5" t="str">
        <x:v>n.a.</x:v>
      </x:c>
      <x:c r="O347" s="5" t="str">
        <x:v>n.a.</x:v>
      </x:c>
      <x:c r="P347" s="5" t="n">
        <x:v>0</x:v>
      </x:c>
      <x:c r="Q347" s="5" t="str">
        <x:v>Original Codex Blender mesh; private Unreal inspection</x:v>
      </x:c>
    </x:row>
    <x:row r="348">
      <x:c r="A348" s="5" t="str">
        <x:v>Prop_Ocean_HarbourDock</x:v>
      </x:c>
      <x:c r="B348" s="5" t="str">
        <x:v>Prop</x:v>
      </x:c>
      <x:c r="C348" s="5" t="str">
        <x:v>Ocean Realm</x:v>
      </x:c>
      <x:c r="D348" s="5" t="str">
        <x:v>Modular harbour dressing; existing pier collision presentation</x:v>
      </x:c>
      <x:c r="E348" s="5" t="n">
        <x:v>8352</x:v>
      </x:c>
      <x:c r="F348" s="5" t="str">
        <x:v>static</x:v>
      </x:c>
      <x:c r="G348" s="5" t="n">
        <x:v>0</x:v>
      </x:c>
      <x:c r="H348" s="32" t="str">
        <x:v>Validated</x:v>
      </x:c>
      <x:c r="I348" s="32" t="str">
        <x:v>Private import</x:v>
      </x:c>
      <x:c r="J348" s="5" t="str">
        <x:v>Dock travel binding pending</x:v>
      </x:c>
      <x:c r="K348" s="5" t="str">
        <x:v>ocean-vessels/Prop_Ocean_HarbourDock.glb</x:v>
      </x:c>
      <x:c r="L348" s="5" t="str">
        <x:v>bc25893595a78c78553b45f74e04496aacfc2e619d4b7d6f44ea919276af9a73</x:v>
      </x:c>
      <x:c r="M348" s="5" t="n">
        <x:v>0</x:v>
      </x:c>
      <x:c r="N348" s="5" t="str">
        <x:v>n.a.</x:v>
      </x:c>
      <x:c r="O348" s="5" t="str">
        <x:v>n.a.</x:v>
      </x:c>
      <x:c r="P348" s="5" t="n">
        <x:v>0</x:v>
      </x:c>
      <x:c r="Q348" s="5" t="str">
        <x:v>Original Codex Blender mesh; private Unreal inspection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 ht="88" customHeight="1">
      <x:c r="A48" s="4" t="str">
        <x:v>OCE08</x:v>
      </x:c>
      <x:c r="B48" s="4" t="str">
        <x:v>Native client receives authenticated sea chunks</x:v>
      </x:c>
      <x:c r="C48" s="4" t="str">
        <x:v>One in flight; bounded receive; strict DTO; stale-session guard</x:v>
      </x:c>
      <x:c r="D48" s="4" t="str">
        <x:v>131-file plugin and 3 native tests pass; real Java/native HTTP passed</x:v>
      </x:c>
      <x:c r="E48" s="4" t="str">
        <x:v>Local transport verified; scene meshes, TLS/redirect audit and travel pending</x:v>
      </x:c>
      <x:c r="F48" s="2"/>
      <x:c r="G48" s="2"/>
      <x:c r="H48" s="2"/>
      <x:c r="I48" s="2"/>
      <x:c r="J48" s="2"/>
      <x:c r="K48" s="2"/>
      <x:c r="L48" s="2"/>
    </x:row>
    <x:row r="49" ht="88" customHeight="1">
      <x:c r="A49" s="4" t="str">
        <x:v>OCE09</x:v>
      </x:c>
      <x:c r="B49" s="4" t="str">
        <x:v>Server sea chunks become native scene geometry</x:v>
      </x:c>
      <x:c r="C49" s="4" t="str">
        <x:v>Canonical palette; neighbour remesh; local offsets; revisions preserved</x:v>
      </x:c>
      <x:c r="D49" s="4" t="str">
        <x:v>135-file plugin / 4 native / 719 core tests pass; real geometry HTTP proof</x:v>
      </x:c>
      <x:c r="E49" s="4" t="str">
        <x:v>Geometry verified; material appearance, rendered Play and realm travel pending</x:v>
      </x:c>
      <x:c r="F49" s="2"/>
      <x:c r="G49" s="2"/>
      <x:c r="H49" s="2"/>
      <x:c r="I49" s="2"/>
      <x:c r="J49" s="2"/>
      <x:c r="K49" s="2"/>
      <x:c r="L49" s="2"/>
    </x:row>
    <x:row r="50" ht="88" customHeight="1">
      <x:c r="A50" s="4" t="str">
        <x:v>OCE10</x:v>
      </x:c>
      <x:c r="B50" s="4" t="str">
        <x:v>Boat and submarine boarding at docks</x:v>
      </x:c>
      <x:c r="C50" s="4" t="str">
        <x:v>Original skiff, submarine and dock; waterline pivots and +X forward</x:v>
      </x:c>
      <x:c r="D50" s="4" t="str">
        <x:v>3 static exports validated; private Unreal harbor capture verified</x:v>
      </x:c>
      <x:c r="E50" s="4" t="str">
        <x:v>Boarding, hull collision and destination streaming acceptance pending</x:v>
      </x:c>
      <x:c r="F50" s="2"/>
      <x:c r="G50" s="2"/>
      <x:c r="H50" s="2"/>
      <x:c r="I50" s="2"/>
      <x:c r="J50" s="2"/>
      <x:c r="K50" s="2"/>
      <x:c r="L50" s="2"/>
    </x:row>
    <x:row r="51" ht="64" customHeight="1">
      <x:c r="A51" s="4" t="str">
        <x:v>OCE11</x:v>
      </x:c>
      <x:c r="B51" s="4" t="str">
        <x:v>Vessel body collision fits its art</x:v>
      </x:c>
      <x:c r="C51" s="4" t="str">
        <x:v>Bounded unoccupied authority configuration replicated to peers</x:v>
      </x:c>
      <x:c r="D51" s="4" t="str">
        <x:v>Native wall sweeps and two-process profile replication verified</x:v>
      </x:c>
      <x:c r="E51" s="4" t="str">
        <x:v>Rendered piloting, rotation clearance and dock travel pending</x:v>
      </x:c>
      <x:c r="F51" s="2"/>
      <x:c r="G51" s="2"/>
      <x:c r="H51" s="2"/>
      <x:c r="I51" s="2"/>
      <x:c r="J51" s="2"/>
      <x:c r="K51" s="2"/>
      <x:c r="L51" s="2"/>
    </x:row>
    <x:row r="52" ht="80" customHeight="1">
      <x:c r="A52" s="4" t="str">
        <x:v>OCE12</x:v>
      </x:c>
      <x:c r="B52" s="4" t="str">
        <x:v>Accept chunks only from exact requested URL</x:v>
      </x:c>
      <x:c r="C52" s="4" t="str">
        <x:v>Case-sensitive effective URL comparison before payload publication</x:v>
      </x:c>
      <x:c r="D52" s="4" t="str">
        <x:v>Direct accepted. Path, port and path-case redirects refused in actual UE.</x:v>
      </x:c>
      <x:c r="E52" s="4" t="str">
        <x:v>TLS, credential forwarding policy and live authenticated travel remain open.</x:v>
      </x:c>
      <x:c r="F52" s="2"/>
      <x:c r="G52" s="2"/>
      <x:c r="H52" s="2"/>
      <x:c r="I52" s="2"/>
      <x:c r="J52" s="2"/>
      <x:c r="K52" s="2"/>
      <x:c r="L52" s="2"/>
    </x:row>
    <x:row r="53" ht="80" customHeight="1">
      <x:c r="A53" s="4" t="str">
        <x:v>PORT11</x:v>
      </x:c>
      <x:c r="B53" s="4" t="str">
        <x:v>Each battle character uses its own skeleton clips</x:v>
      </x:c>
      <x:c r="C53" s="4" t="str">
        <x:v>Bounded folder-local discovery with compatible explicit overrides</x:v>
      </x:c>
      <x:c r="D53" s="4" t="str">
        <x:v>Two synthetic skeletons plus 13 actual imported Gallery casts verified</x:v>
      </x:c>
      <x:c r="E53" s="4" t="str">
        <x:v>Director wiring, idle return, playback, cooking and rendered battle still pending.</x:v>
      </x:c>
      <x:c r="F53" s="2"/>
      <x:c r="G53" s="2"/>
      <x:c r="H53" s="2"/>
      <x:c r="I53" s="2"/>
      <x:c r="J53" s="2"/>
      <x:c r="K53" s="2"/>
      <x:c r="L53" s="2"/>
    </x:row>
    <x:row r="54" ht="96" customHeight="1">
      <x:c r="A54" s="4" t="str">
        <x:v>SYS01</x:v>
      </x:c>
      <x:c r="B54" s="4" t="str">
        <x:v>Clients discover each realm data provider</x:v>
      </x:c>
      <x:c r="C54" s="4" t="str">
        <x:v>Canonical identity, protocol and same-origin routes without duplicating terrain</x:v>
      </x:c>
      <x:c r="D54" s="4" t="str">
        <x:v>Production JWT HTTP discovery to Ocean chunk read verified</x:v>
      </x:c>
      <x:c r="E54" s="4" t="str">
        <x:v>Player transfer, district routing, Unreal subscription and hosting still pending.</x:v>
      </x:c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Runtime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COUNTIF(D8:D40,"Verified")</x:f>
        <x:v>28</x:v>
      </x:c>
      <x:c r="D5" t="str">
        <x:v>Pending checks</x:v>
      </x:c>
      <x:c r="E5" t="n">
        <x:f>COUNTIF(D8:D40,"Pending")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  <x:row r="24" ht="88" customHeight="1">
      <x:c r="A24" s="5" t="str">
        <x:v>BUILD-CLIENT</x:v>
      </x:c>
      <x:c r="B24" s="5" t="str">
        <x:v>Complete 131-file plugin build</x:v>
      </x:c>
      <x:c r="C24" s="5" t="str">
        <x:v>Ocean</x:v>
      </x:c>
      <x:c r="D24" s="35" t="str">
        <x:v>Verified</x:v>
      </x:c>
      <x:c r="E24" s="29" t="n">
        <x:v>193.26</x:v>
      </x:c>
      <x:c r="F24" s="5" t="str">
        <x:v>46 build/link actions; full process</x:v>
      </x:c>
      <x:c r="G24" s="5" t="str">
        <x:v>ocean-client-build-proof.json</x:v>
      </x:c>
      <x:c r="H24" s="5" t="str">
        <x:v>Fresh base plus separately recorded lifecycle rebuild</x:v>
      </x:c>
    </x:row>
    <x:row r="25" ht="88" customHeight="1">
      <x:c r="A25" s="5" t="str">
        <x:v>LIFECYCLE</x:v>
      </x:c>
      <x:c r="B25" s="5" t="str">
        <x:v>Final EndPlay session-cancellation rebuild</x:v>
      </x:c>
      <x:c r="C25" s="5" t="str">
        <x:v>Ocean</x:v>
      </x:c>
      <x:c r="D25" s="35" t="str">
        <x:v>Verified</x:v>
      </x:c>
      <x:c r="E25" s="29" t="n">
        <x:v>12.4</x:v>
      </x:c>
      <x:c r="F25" s="5" t="str">
        <x:v>5 incremental compile/link actions</x:v>
      </x:c>
      <x:c r="G25" s="5" t="str">
        <x:v>ocean-client-build-proof.json</x:v>
      </x:c>
      <x:c r="H25" s="5" t="str">
        <x:v>All final production input hashes verified</x:v>
      </x:c>
    </x:row>
    <x:row r="26" ht="88" customHeight="1">
      <x:c r="A26" s="5" t="str">
        <x:v>DECODE</x:v>
      </x:c>
      <x:c r="B26" s="5" t="str">
        <x:v>Daedalus.Ocean.HostChunkDecoder</x:v>
      </x:c>
      <x:c r="C26" s="5" t="str">
        <x:v>Ocean</x:v>
      </x:c>
      <x:c r="D26" s="35" t="str">
        <x:v>Verified</x:v>
      </x:c>
      <x:c r="E26" s="29" t="n">
        <x:v>0.009295500814914703</x:v>
      </x:c>
      <x:c r="F26" s="5" t="str">
        <x:v>Native test body; excludes engine startup</x:v>
      </x:c>
      <x:c r="G26" s="5" t="str">
        <x:v>ocean-client-runtime-proof.json</x:v>
      </x:c>
      <x:c r="H26" s="5" t="str">
        <x:v>Headless DTO/session validation</x:v>
      </x:c>
    </x:row>
    <x:row r="27" ht="88" customHeight="1">
      <x:c r="A27" s="5" t="str">
        <x:v>HTTP-CLIENT</x:v>
      </x:c>
      <x:c r="B27" s="5" t="str">
        <x:v>Packaged Java to native Ocean client</x:v>
      </x:c>
      <x:c r="C27" s="5" t="str">
        <x:v>Ocean</x:v>
      </x:c>
      <x:c r="D27" s="35" t="str">
        <x:v>Verified</x:v>
      </x:c>
      <x:c r="E27" s="29" t="n">
        <x:v>21.188</x:v>
      </x:c>
      <x:c r="F27" s="5" t="str">
        <x:v>Java server startup plus native engine startup and HTTP scenario</x:v>
      </x:c>
      <x:c r="G27" s="5" t="str">
        <x:v>ocean-client-http-proof.json</x:v>
      </x:c>
      <x:c r="H27" s="5" t="str">
        <x:v>TLS/redirect, rendered gameplay and realm transfer pending</x:v>
      </x:c>
    </x:row>
    <x:row r="28" ht="88" customHeight="1">
      <x:c r="A28" s="5" t="str">
        <x:v>BUILD-VIEW</x:v>
      </x:c>
      <x:c r="B28" s="5" t="str">
        <x:v>Complete 135-file plugin build</x:v>
      </x:c>
      <x:c r="C28" s="5" t="str">
        <x:v>Ocean</x:v>
      </x:c>
      <x:c r="D28" s="36" t="str">
        <x:v>Verified</x:v>
      </x:c>
      <x:c r="E28" s="29" t="n">
        <x:v>202.42</x:v>
      </x:c>
      <x:c r="F28" s="5" t="str">
        <x:v>48 build/link actions; full process</x:v>
      </x:c>
      <x:c r="G28" s="5" t="str">
        <x:v>ocean-view-build-proof.json</x:v>
      </x:c>
      <x:c r="H28" s="5" t="str">
        <x:v>Full source hashes and production DLL recorded</x:v>
      </x:c>
    </x:row>
    <x:row r="29" ht="88" customHeight="1">
      <x:c r="A29" s="5" t="str">
        <x:v>GEOMETRY</x:v>
      </x:c>
      <x:c r="B29" s="5" t="str">
        <x:v>Daedalus.Ocean.SectorGeometry</x:v>
      </x:c>
      <x:c r="C29" s="5" t="str">
        <x:v>Ocean</x:v>
      </x:c>
      <x:c r="D29" s="36" t="str">
        <x:v>Verified</x:v>
      </x:c>
      <x:c r="E29" s="29" t="n">
        <x:v>0.011793497949838638</x:v>
      </x:c>
      <x:c r="F29" s="5" t="str">
        <x:v>Native test body; excludes engine startup</x:v>
      </x:c>
      <x:c r="G29" s="5" t="str">
        <x:v>ocean-view-runtime-proof.json</x:v>
      </x:c>
      <x:c r="H29" s="5" t="str">
        <x:v>Seams/capacity/revisions/collision flags; no rendered acceptance</x:v>
      </x:c>
    </x:row>
    <x:row r="30" ht="88" customHeight="1">
      <x:c r="A30" s="5" t="str">
        <x:v>HTTP-VIEW</x:v>
      </x:c>
      <x:c r="B30" s="5" t="str">
        <x:v>Java saved terrain to native procedural mesh</x:v>
      </x:c>
      <x:c r="C30" s="5" t="str">
        <x:v>Ocean</x:v>
      </x:c>
      <x:c r="D30" s="36" t="str">
        <x:v>Verified</x:v>
      </x:c>
      <x:c r="E30" s="29" t="n">
        <x:v>20.766</x:v>
      </x:c>
      <x:c r="F30" s="5" t="str">
        <x:v>Java server startup plus native engine startup and HTTP scenario</x:v>
      </x:c>
      <x:c r="G30" s="5" t="str">
        <x:v>ocean-view-http-proof.json</x:v>
      </x:c>
      <x:c r="H30" s="5" t="str">
        <x:v>Clear revision removes old mesh; appearance/travel pending</x:v>
      </x:c>
    </x:row>
    <x:row r="31" ht="88" customHeight="1">
      <x:c r="A31" s="5" t="str">
        <x:v>HARBOR-RENDER</x:v>
      </x:c>
      <x:c r="B31" s="5" t="str">
        <x:v>Private Ocean harbor inspection</x:v>
      </x:c>
      <x:c r="C31" s="5" t="str">
        <x:v>Ocean</x:v>
      </x:c>
      <x:c r="D31" s="30" t="str">
        <x:v>Verified</x:v>
      </x:c>
      <x:c r="E31" s="29" t="n">
        <x:v>34.656</x:v>
      </x:c>
      <x:c r="F31" s="5" t="str">
        <x:v>Java server startup plus native engine startup and HTTP scenario</x:v>
      </x:c>
      <x:c r="G31" s="5" t="str">
        <x:v>ocean-scene-http-proof.json</x:v>
      </x:c>
      <x:c r="H31" s="5" t="str">
        <x:v>64 chunks and 3 props rendered; controls and realm transfer pending</x:v>
      </x:c>
    </x:row>
    <x:row r="32" ht="64" customHeight="1">
      <x:c r="A32" s="4" t="str">
        <x:v>BUILD-HULL</x:v>
      </x:c>
      <x:c r="B32" s="4" t="str">
        <x:v>Full plugin with configurable hulls</x:v>
      </x:c>
      <x:c r="C32" s="4" t="str">
        <x:v>Ocean</x:v>
      </x:c>
      <x:c r="D32" s="37" t="str">
        <x:v>Verified</x:v>
      </x:c>
      <x:c r="E32" s="38" t="n">
        <x:v>210.96</x:v>
      </x:c>
      <x:c r="F32" s="4" t="str">
        <x:v>Full 136-file source snapshot</x:v>
      </x:c>
      <x:c r="G32" s="4" t="str">
        <x:v>ocean-hull-profile-build-proof.json</x:v>
      </x:c>
      <x:c r="H32" s="4" t="str">
        <x:v>No shared editor or fixture overlay in production build</x:v>
      </x:c>
    </x:row>
    <x:row r="33" ht="64" customHeight="1">
      <x:c r="A33" s="4" t="str">
        <x:v>HULL-PROFILE</x:v>
      </x:c>
      <x:c r="B33" s="4" t="str">
        <x:v>Daedalus.Ocean.HullProfile</x:v>
      </x:c>
      <x:c r="C33" s="4" t="str">
        <x:v>Ocean</x:v>
      </x:c>
      <x:c r="D33" s="37" t="str">
        <x:v>Verified</x:v>
      </x:c>
      <x:c r="E33" s="38" t="n">
        <x:v>0.014085199683904648</x:v>
      </x:c>
      <x:c r="F33" s="4" t="str">
        <x:v>Native test body; excludes startup</x:v>
      </x:c>
      <x:c r="G33" s="4" t="str">
        <x:v>ocean-hull-profile-runtime-proof.json</x:v>
      </x:c>
      <x:c r="H33" s="4" t="str">
        <x:v>Bounds, overlap, occupied refusal and real wall sweeps</x:v>
      </x:c>
    </x:row>
    <x:row r="34" ht="64" customHeight="1">
      <x:c r="A34" s="4" t="str">
        <x:v>HULL-NET</x:v>
      </x:c>
      <x:c r="B34" s="4" t="str">
        <x:v>Replicated boat and submarine body dimensions</x:v>
      </x:c>
      <x:c r="C34" s="4" t="str">
        <x:v>Ocean</x:v>
      </x:c>
      <x:c r="D34" s="37" t="str">
        <x:v>Verified</x:v>
      </x:c>
      <x:c r="E34" s="38" t="n">
        <x:v>47.797</x:v>
      </x:c>
      <x:c r="F34" s="4" t="str">
        <x:v>Sum of two separate server/client scenarios</x:v>
      </x:c>
      <x:c r="G34" s="4" t="str">
        <x:v>ocean-hull-profile-network-proof.json</x:v>
      </x:c>
      <x:c r="H34" s="4" t="str">
        <x:v>Both client colliders match; client resize refused; rendered travel pending</x:v>
      </x:c>
    </x:row>
    <x:row r="35" ht="80" customHeight="1">
      <x:c r="A35" s="4" t="str">
        <x:v>BUILD-URL</x:v>
      </x:c>
      <x:c r="B35" s="4" t="str">
        <x:v>Full plugin with effective URL check</x:v>
      </x:c>
      <x:c r="C35" s="4" t="str">
        <x:v>Ocean</x:v>
      </x:c>
      <x:c r="D35" s="37" t="str">
        <x:v>Verified</x:v>
      </x:c>
      <x:c r="E35" s="38" t="n">
        <x:v>220.56</x:v>
      </x:c>
      <x:c r="F35" s="4" t="str">
        <x:v>148-file production snapshot dab439d6</x:v>
      </x:c>
      <x:c r="G35" s="4" t="str">
        <x:v>ocean-effective-url-build-proof.json</x:v>
      </x:c>
      <x:c r="H35" s="4" t="str">
        <x:v>Five native Ocean tests passed. Later main metadata fixes are outside this snapshot.</x:v>
      </x:c>
    </x:row>
    <x:row r="36" ht="80" customHeight="1">
      <x:c r="A36" s="4" t="str">
        <x:v>HTTP-URL</x:v>
      </x:c>
      <x:c r="B36" s="4" t="str">
        <x:v>Direct response and three redirect refusals</x:v>
      </x:c>
      <x:c r="C36" s="4" t="str">
        <x:v>Ocean</x:v>
      </x:c>
      <x:c r="D36" s="37" t="str">
        <x:v>Verified</x:v>
      </x:c>
      <x:c r="E36" s="38" t="n">
        <x:v>38.407000000000004</x:v>
      </x:c>
      <x:c r="F36" s="4" t="str">
        <x:v>Four sequential UE loopback processes</x:v>
      </x:c>
      <x:c r="G36" s="4" t="str">
        <x:v>ocean-effective-url-redirect-proof.json</x:v>
      </x:c>
      <x:c r="H36" s="4" t="str">
        <x:v>Fixture build 261.13s. Same-origin credential forwarded. TLS and pre-forward prevention unproven.</x:v>
      </x:c>
    </x:row>
    <x:row r="37" ht="80" customHeight="1">
      <x:c r="A37" s="4" t="str">
        <x:v>BUILD-CAST</x:v>
      </x:c>
      <x:c r="B37" s="4" t="str">
        <x:v>Full plugin with per-mesh battle clips</x:v>
      </x:c>
      <x:c r="C37" s="4" t="str">
        <x:v>All casts</x:v>
      </x:c>
      <x:c r="D37" s="37" t="str">
        <x:v>Verified</x:v>
      </x:c>
      <x:c r="E37" s="38" t="n">
        <x:v>242.56</x:v>
      </x:c>
      <x:c r="F37" s="4" t="str">
        <x:v>159-file snapshot 36adcecc</x:v>
      </x:c>
      <x:c r="G37" s="4" t="str">
        <x:v>battle-cast-animation-proof.json</x:v>
      </x:c>
      <x:c r="H37" s="4" t="str">
        <x:v>Later Java cabinets and main fixes are outside this build snapshot.</x:v>
      </x:c>
    </x:row>
    <x:row r="38" ht="80" customHeight="1">
      <x:c r="A38" s="4" t="str">
        <x:v>CAST-CLIPS</x:v>
      </x:c>
      <x:c r="B38" s="4" t="str">
        <x:v>Daedalus.Battle.CastAnimations</x:v>
      </x:c>
      <x:c r="C38" s="4" t="str">
        <x:v>All casts</x:v>
      </x:c>
      <x:c r="D38" s="37" t="str">
        <x:v>Verified</x:v>
      </x:c>
      <x:c r="E38" s="38" t="n">
        <x:v>0.02282389998435974</x:v>
      </x:c>
      <x:c r="F38" s="4" t="str">
        <x:v>Native synthetic two-skeleton test body</x:v>
      </x:c>
      <x:c r="G38" s="4" t="str">
        <x:v>battle-cast-animation-proof.json</x:v>
      </x:c>
      <x:c r="H38" s="4" t="str">
        <x:v>Concatenated import names. Test errors/warnings 0/0; editor 0/1 (layout notice).</x:v>
      </x:c>
    </x:row>
    <x:row r="39" ht="80" customHeight="1">
      <x:c r="A39" s="4" t="str">
        <x:v>CAST-IMPORT</x:v>
      </x:c>
      <x:c r="B39" s="4" t="str">
        <x:v>13 Gallery meshes and 26 attack/hurt bindings</x:v>
      </x:c>
      <x:c r="C39" s="4" t="str">
        <x:v>Gallery</x:v>
      </x:c>
      <x:c r="D39" s="37" t="str">
        <x:v>Verified</x:v>
      </x:c>
      <x:c r="E39" s="38" t="n">
        <x:v>0.68</x:v>
      </x:c>
      <x:c r="F39" s="4" t="str">
        <x:v>Commandlet body only, excludes startup</x:v>
      </x:c>
      <x:c r="G39" s="4" t="str">
        <x:v>battle-cast-imported-proof.json</x:v>
      </x:c>
      <x:c r="H39" s="4" t="str">
        <x:v>152 copied art hashes intact. Editor errors/warnings 0/0. Playback/rendering still pending.</x:v>
      </x:c>
    </x:row>
    <x:row r="40" ht="96" customHeight="1">
      <x:c r="A40" s="4" t="str">
        <x:v>REALM-DIR</x:v>
      </x:c>
      <x:c r="B40" s="4" t="str">
        <x:v>Authenticated provider discovery and advertised Ocean read</x:v>
      </x:c>
      <x:c r="C40" s="4" t="str">
        <x:v>WorldHub + Ocean</x:v>
      </x:c>
      <x:c r="D40" s="37" t="str">
        <x:v>Verified</x:v>
      </x:c>
      <x:c r="E40" s="38" t="n">
        <x:v>207</x:v>
      </x:c>
      <x:c r="F40" s="4" t="str">
        <x:v>Full server reactor verify. 719 core / 796 server tests.</x:v>
      </x:c>
      <x:c r="G40" s="4" t="str">
        <x:v>realm-directory-proof.json</x:v>
      </x:c>
      <x:c r="H40" s="4" t="str">
        <x:v>10 focused checks also pass in 51.582s. No travel, Unreal loading or hosting claim.</x:v>
      </x:c>
    </x:row>
  </x:sheetData>
  <x:dataValidations count="4">
    <x:dataValidation type="list" sqref="D8:D22">
      <x:formula1>"Verified,Pending"</x:formula1>
    </x:dataValidation>
    <x:dataValidation type="list" sqref="D23">
      <x:formula1>"Verified,Pending"</x:formula1>
    </x:dataValidation>
    <x:dataValidation type="list" sqref="D24:D27">
      <x:formula1>"Verified,Pending"</x:formula1>
    </x:dataValidation>
    <x:dataValidation type="list" sqref="D28:D30">
      <x:formula1>"Verified,Pending"</x:formula1>
    </x:dataValidation>
  </x:dataValidations>
  <x:pageMargins left="0.7" right="0.7" top="0.75" bottom="0.75" header="0.3" footer="0.3"/>
</x:worksheet>
</file>