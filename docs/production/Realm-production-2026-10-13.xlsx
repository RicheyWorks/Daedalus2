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b77af262c444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aadceb366b584e7e"/>
    <x:sheet xmlns:r="http://schemas.openxmlformats.org/officeDocument/2006/relationships" name="Assets" sheetId="2" r:id="R125713e2e28c4d8d"/>
    <x:sheet xmlns:r="http://schemas.openxmlformats.org/officeDocument/2006/relationships" name="Mechanics" sheetId="3" r:id="Ra0e1ac36088244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4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58eccfbba64667" /><Relationship Type="http://schemas.openxmlformats.org/officeDocument/2006/relationships/theme" Target="/xl/theme/theme1.xml" Id="R0ebc58aa48b04ab1" /><Relationship Type="http://schemas.openxmlformats.org/officeDocument/2006/relationships/sharedStrings" Target="/xl/sharedStrings.xml" Id="R49da4a011a304ecc" /><Relationship Type="http://schemas.openxmlformats.org/officeDocument/2006/relationships/worksheet" Target="/xl/worksheets/sheet1.xml" Id="Raadceb366b584e7e" /><Relationship Type="http://schemas.openxmlformats.org/officeDocument/2006/relationships/worksheet" Target="/xl/worksheets/sheet2.xml" Id="R125713e2e28c4d8d" /><Relationship Type="http://schemas.openxmlformats.org/officeDocument/2006/relationships/worksheet" Target="/xl/worksheets/sheet3.xml" Id="Ra0e1ac36088244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SUMIFS(Assets!$M$6:$M$232,Assets!$C$6:$C$232,A7)</x:f>
        <x:v>35</x:v>
      </x:c>
      <x:c r="E7" s="6" t="n">
        <x:f>COUNTIFS(Assets!$C$6:$C$232,A7,Assets!$B$6:$B$232,"Character",Assets!$H$6:$H$232,"Validated")</x:f>
        <x:v>35</x:v>
      </x:c>
      <x:c r="F7" s="6" t="n">
        <x:f>COUNTIFS(Assets!$C$6:$C$232,A7,Assets!$B$6:$B$232,"Character",Assets!$I$6:$I$232,"Play proven")</x:f>
        <x:v>0</x:v>
      </x:c>
      <x:c r="G7" s="6" t="n">
        <x:f>C7-D7</x:f>
        <x:v>0</x:v>
      </x:c>
      <x:c r="H7" s="6" t="n">
        <x:f>COUNTIFS(Assets!$C$6:$C$232,A7)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SUMIFS(Assets!$M$6:$M$232,Assets!$C$6:$C$232,A8)</x:f>
        <x:v>32</x:v>
      </x:c>
      <x:c r="E8" s="2" t="n">
        <x:f>COUNTIFS(Assets!$C$6:$C$232,A8,Assets!$B$6:$B$232,"Character",Assets!$H$6:$H$232,"Validated")</x:f>
        <x:v>32</x:v>
      </x:c>
      <x:c r="F8" s="2" t="n">
        <x:f>COUNTIFS(Assets!$C$6:$C$232,A8,Assets!$B$6:$B$232,"Character",Assets!$I$6:$I$232,"Play proven")</x:f>
        <x:v>0</x:v>
      </x:c>
      <x:c r="G8" s="2" t="n">
        <x:f>C8-D8</x:f>
        <x:v>0</x:v>
      </x:c>
      <x:c r="H8" s="2" t="n">
        <x:f>COUNTIFS(Assets!$C$6:$C$232,A8)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SUMIFS(Assets!$M$6:$M$232,Assets!$C$6:$C$232,A9)</x:f>
        <x:v>33</x:v>
      </x:c>
      <x:c r="E9" s="2" t="n">
        <x:f>COUNTIFS(Assets!$C$6:$C$232,A9,Assets!$B$6:$B$232,"Character",Assets!$H$6:$H$232,"Validated")</x:f>
        <x:v>77</x:v>
      </x:c>
      <x:c r="F9" s="2" t="n">
        <x:f>COUNTIFS(Assets!$C$6:$C$232,A9,Assets!$B$6:$B$232,"Character",Assets!$I$6:$I$232,"Play proven")</x:f>
        <x:v>0</x:v>
      </x:c>
      <x:c r="G9" s="2" t="n">
        <x:f>C9-D9</x:f>
        <x:v>0</x:v>
      </x:c>
      <x:c r="H9" s="2" t="n">
        <x:f>COUNTIFS(Assets!$C$6:$C$232,A9)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SUMIFS(Assets!$M$6:$M$232,Assets!$C$6:$C$232,A10)</x:f>
        <x:v>0</x:v>
      </x:c>
      <x:c r="E10" s="2" t="n">
        <x:f>COUNTIFS(Assets!$C$6:$C$232,A10,Assets!$B$6:$B$232,"Character",Assets!$H$6:$H$232,"Validated")</x:f>
        <x:v>0</x:v>
      </x:c>
      <x:c r="F10" s="2" t="n">
        <x:f>COUNTIFS(Assets!$C$6:$C$232,A10,Assets!$B$6:$B$232,"Character",Assets!$I$6:$I$232,"Play proven")</x:f>
        <x:v>0</x:v>
      </x:c>
      <x:c r="G10" s="2" t="n">
        <x:f>C10-D10</x:f>
        <x:v>32</x:v>
      </x:c>
      <x:c r="H10" s="2" t="n">
        <x:f>COUNTIFS(Assets!$C$6:$C$232,A10)</x:f>
        <x:v>0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SUMIFS(Assets!$M$6:$M$232,Assets!$C$6:$C$232,A11)</x:f>
        <x:v>0</x:v>
      </x:c>
      <x:c r="E11" s="2" t="n">
        <x:f>COUNTIFS(Assets!$C$6:$C$232,A11,Assets!$B$6:$B$232,"Character",Assets!$H$6:$H$232,"Validated")</x:f>
        <x:v>0</x:v>
      </x:c>
      <x:c r="F11" s="2" t="n">
        <x:f>COUNTIFS(Assets!$C$6:$C$232,A11,Assets!$B$6:$B$232,"Character",Assets!$I$6:$I$232,"Play proven")</x:f>
        <x:v>0</x:v>
      </x:c>
      <x:c r="G11" s="2" t="n">
        <x:f>C11-D11</x:f>
        <x:v>32</x:v>
      </x:c>
      <x:c r="H11" s="2" t="n">
        <x:f>COUNTIFS(Assets!$C$6:$C$232,A11)</x:f>
        <x:v>0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SUM(Assets!E6:E232)</x:f>
        <x:v>217522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COUNTIFS(Assets!B6:B232,"Prop")+COUNTIFS(Assets!B6:B232,"Item")</x:f>
        <x:v>83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Codex first kits only. Gallery 56 exports; native behaviors/visual acceptance pending. LODs are not new roles.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</x:sheetData>
  <x:dataValidations count="8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