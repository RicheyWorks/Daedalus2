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b7c740610f4e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ion" sheetId="1" r:id="Rc33638535dd544e5"/>
    <x:sheet xmlns:r="http://schemas.openxmlformats.org/officeDocument/2006/relationships" name="Assets" sheetId="2" r:id="R165470e434694dd5"/>
    <x:sheet xmlns:r="http://schemas.openxmlformats.org/officeDocument/2006/relationships" name="Mechanics" sheetId="3" r:id="R369b695a6a3b4857"/>
    <x:sheet xmlns:r="http://schemas.openxmlformats.org/officeDocument/2006/relationships" name="Unreal verification" sheetId="4" r:id="Rf4575f12f0bb44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"/>
    <x:numFmt numFmtId="202" formatCode="0.000"/>
  </x:numFmts>
  <x:fonts count="5">
    <x:font>
      <x:sz val="11"/>
      <x:name val="Carlito"/>
    </x:font>
    <x:font>
      <x:sz val="10"/>
      <x:name val="Arial"/>
    </x:font>
    <x:font>
      <x:b/>
      <x:sz val="14"/>
      <x:name val="Arial"/>
    </x:font>
    <x:font>
      <x:b/>
      <x:sz val="10"/>
      <x:color rgb="FFFFFFFF"/>
      <x:name val="Arial"/>
    </x:font>
    <x:font>
      <x:b/>
      <x:sz val="16"/>
      <x:name val="Arial"/>
    </x:font>
  </x:fonts>
  <x:fills count="15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243746"/>
      </x:patternFill>
    </x:fill>
    <x:fill>
      <x:patternFill patternType="solid">
        <x:fgColor rgb="FF243746"/>
      </x:patternFill>
    </x:fill>
    <x:fill>
      <x:patternFill patternType="solid">
        <x:fgColor rgb="FF243746"/>
      </x:patternFill>
    </x:fill>
    <x:fill>
      <x:patternFill patternType="solid">
        <x:fgColor rgb="FF243746"/>
      </x:patternFill>
    </x:fill>
    <x:fill>
      <x:patternFill patternType="solid">
        <x:fgColor rgb="FF243746"/>
      </x:patternFill>
    </x:fill>
    <x:fill>
      <x:patternFill patternType="solid">
        <x:fgColor rgb="FF243746"/>
      </x:patternFill>
    </x:fill>
    <x:fill>
      <x:patternFill patternType="solid">
        <x:fgColor rgb="FFE8F5E9"/>
      </x:patternFill>
    </x:fill>
    <x:fill>
      <x:patternFill patternType="solid">
        <x:fgColor rgb="FFFFF2CC"/>
      </x:patternFill>
    </x:fill>
    <x:fill>
      <x:patternFill patternType="solid">
        <x:fgColor rgb="FFE8F5E9"/>
      </x:patternFill>
    </x:fill>
    <x:fill>
      <x:patternFill patternType="solid">
        <x:fgColor rgb="FFFFF2CC"/>
      </x:patternFill>
    </x:fill>
    <x:fill>
      <x:patternFill patternType="solid">
        <x:fgColor rgb="FFE8F5E9"/>
      </x:patternFill>
    </x:fill>
    <x:fill>
      <x:patternFill patternType="solid">
        <x:fgColor rgb="FFE8F5E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201" fontId="1" fillId="0" borderId="0" xfId="0" applyNumberFormat="1" applyFont="1" applyFill="1" applyBorder="1"/>
    <x:xf numFmtId="201" fontId="1" fillId="0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1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/>
    <x:xf numFmtId="0" fontId="4" fillId="0" borderId="0" xfId="0" applyNumberFormat="1" applyFont="1" applyFill="1" applyBorder="1"/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202" fontId="1" fillId="0" borderId="0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wrapText="1"/>
    </x:xf>
    <x:xf numFmtId="0" fontId="1" fillId="12" borderId="0" xfId="0" applyNumberFormat="1" applyFont="1" applyFill="1" applyBorder="1" applyAlignment="1">
      <x:alignment wrapText="1"/>
    </x:xf>
    <x:xf numFmtId="0" fontId="1" fillId="13" borderId="0" xfId="0" applyNumberFormat="1" applyFont="1" applyFill="1" applyBorder="1" applyAlignment="1">
      <x:alignment wrapText="1"/>
    </x:xf>
    <x:xf numFmtId="0" fontId="1" fillId="14" borderId="0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9A650A"/>
      </x:font>
      <x:fill>
        <x:patternFill patternType="solid">
          <x:bgColor rgb="FFFFF1D6"/>
        </x:patternFill>
      </x:fill>
    </x:dxf>
    <x:dxf>
      <x:font>
        <x:color rgb="FF205B31"/>
      </x:font>
      <x:fill>
        <x:patternFill patternType="solid">
          <x:bgColor rgb="FFE6F2E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b04ff6291a45f8" /><Relationship Type="http://schemas.openxmlformats.org/officeDocument/2006/relationships/theme" Target="/xl/theme/theme1.xml" Id="Re50bccacefe84491" /><Relationship Type="http://schemas.openxmlformats.org/officeDocument/2006/relationships/sharedStrings" Target="/xl/sharedStrings.xml" Id="R9027d5c972b141a4" /><Relationship Type="http://schemas.openxmlformats.org/officeDocument/2006/relationships/worksheet" Target="/xl/worksheets/sheet1.xml" Id="Rc33638535dd544e5" /><Relationship Type="http://schemas.openxmlformats.org/officeDocument/2006/relationships/worksheet" Target="/xl/worksheets/sheet2.xml" Id="R165470e434694dd5" /><Relationship Type="http://schemas.openxmlformats.org/officeDocument/2006/relationships/worksheet" Target="/xl/worksheets/sheet3.xml" Id="R369b695a6a3b4857" /><Relationship Type="http://schemas.openxmlformats.org/officeDocument/2006/relationships/worksheet" Target="/xl/worksheets/sheet4.xml" Id="Rf4575f12f0bb44a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A2" s="3" t="str">
        <x:v>Realm production tracker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>
      <x:c r="A4" s="2" t="str">
        <x:v>2026-10-13. Counts track delivered art, not completed gameplay.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8" customHeight="1">
      <x:c r="A6" s="12" t="str">
        <x:v>Realm</x:v>
      </x:c>
      <x:c r="B6" s="12" t="str">
        <x:v>Art owner</x:v>
      </x:c>
      <x:c r="C6" s="12" t="str">
        <x:v>Role target</x:v>
      </x:c>
      <x:c r="D6" s="12" t="str">
        <x:v>Roles built</x:v>
      </x:c>
      <x:c r="E6" s="12" t="str">
        <x:v>Validated visuals</x:v>
      </x:c>
      <x:c r="F6" s="12" t="str">
        <x:v>Play proven</x:v>
      </x:c>
      <x:c r="G6" s="12" t="str">
        <x:v>Roles remaining</x:v>
      </x:c>
      <x:c r="H6" s="12" t="str">
        <x:v>Assets delivered</x:v>
      </x:c>
      <x:c r="I6" s="2"/>
      <x:c r="J6" s="2"/>
      <x:c r="K6" s="2"/>
      <x:c r="L6" s="2"/>
    </x:row>
    <x:row r="7" ht="28" customHeight="1">
      <x:c r="A7" s="2" t="str">
        <x:v>Labyrinth</x:v>
      </x:c>
      <x:c r="B7" s="2" t="str">
        <x:v>Sol / Codex</x:v>
      </x:c>
      <x:c r="C7" s="9" t="n">
        <x:v>35</x:v>
      </x:c>
      <x:c r="D7" s="6" t="n">
        <x:f>SUMIFS(Assets!$M$6:$M$378,Assets!$C$6:$C$378,A7)</x:f>
        <x:v>35</x:v>
      </x:c>
      <x:c r="E7" s="6" t="n">
        <x:f>COUNTIFS(Assets!$C$6:$C$378,A7,Assets!$B$6:$B$378,"Character",Assets!$H$6:$H$378,"Validated")</x:f>
        <x:v>35</x:v>
      </x:c>
      <x:c r="F7" s="6" t="n">
        <x:f>COUNTIFS(Assets!$C$6:$C$378,A7,Assets!$B$6:$B$378,"Character",Assets!$I$6:$I$378,"Play proven")</x:f>
        <x:v>0</x:v>
      </x:c>
      <x:c r="G7" s="6" t="n">
        <x:f>C7-D7</x:f>
        <x:v>0</x:v>
      </x:c>
      <x:c r="H7" s="6" t="n">
        <x:f>COUNTIFS(Assets!$C$6:$C$378,A7)</x:f>
        <x:v>67</x:v>
      </x:c>
      <x:c r="I7" s="2"/>
      <x:c r="J7" s="2"/>
      <x:c r="K7" s="2"/>
      <x:c r="L7" s="2"/>
    </x:row>
    <x:row r="8" ht="28" customHeight="1">
      <x:c r="A8" s="2" t="str">
        <x:v>Gallery City</x:v>
      </x:c>
      <x:c r="B8" s="2" t="str">
        <x:v>Sol / Codex</x:v>
      </x:c>
      <x:c r="C8" s="8" t="n">
        <x:v>32</x:v>
      </x:c>
      <x:c r="D8" s="2" t="n">
        <x:f>SUMIFS(Assets!$M$6:$M$378,Assets!$C$6:$C$378,A8)</x:f>
        <x:v>32</x:v>
      </x:c>
      <x:c r="E8" s="2" t="n">
        <x:f>COUNTIFS(Assets!$C$6:$C$378,A8,Assets!$B$6:$B$378,"Character",Assets!$H$6:$H$378,"Validated")</x:f>
        <x:v>32</x:v>
      </x:c>
      <x:c r="F8" s="2" t="n">
        <x:f>COUNTIFS(Assets!$C$6:$C$378,A8,Assets!$B$6:$B$378,"Character",Assets!$I$6:$I$378,"Play proven")</x:f>
        <x:v>0</x:v>
      </x:c>
      <x:c r="G8" s="2" t="n">
        <x:f>C8-D8</x:f>
        <x:v>0</x:v>
      </x:c>
      <x:c r="H8" s="2" t="n">
        <x:f>COUNTIFS(Assets!$C$6:$C$378,A8)</x:f>
        <x:v>56</x:v>
      </x:c>
      <x:c r="I8" s="2"/>
      <x:c r="J8" s="2"/>
      <x:c r="K8" s="2"/>
      <x:c r="L8" s="2"/>
    </x:row>
    <x:row r="9" ht="28" customHeight="1">
      <x:c r="A9" s="2" t="str">
        <x:v>Portal Realm</x:v>
      </x:c>
      <x:c r="B9" s="2" t="str">
        <x:v>Sol / Codex</x:v>
      </x:c>
      <x:c r="C9" s="8" t="n">
        <x:v>33</x:v>
      </x:c>
      <x:c r="D9" s="2" t="n">
        <x:f>SUMIFS(Assets!$M$6:$M$378,Assets!$C$6:$C$378,A9)</x:f>
        <x:v>33</x:v>
      </x:c>
      <x:c r="E9" s="2" t="n">
        <x:f>COUNTIFS(Assets!$C$6:$C$378,A9,Assets!$B$6:$B$378,"Character",Assets!$H$6:$H$378,"Validated")</x:f>
        <x:v>77</x:v>
      </x:c>
      <x:c r="F9" s="2" t="n">
        <x:f>COUNTIFS(Assets!$C$6:$C$378,A9,Assets!$B$6:$B$378,"Character",Assets!$I$6:$I$378,"Play proven")</x:f>
        <x:v>0</x:v>
      </x:c>
      <x:c r="G9" s="2" t="n">
        <x:f>C9-D9</x:f>
        <x:v>0</x:v>
      </x:c>
      <x:c r="H9" s="2" t="n">
        <x:f>COUNTIFS(Assets!$C$6:$C$378,A9)</x:f>
        <x:v>104</x:v>
      </x:c>
      <x:c r="I9" s="2"/>
      <x:c r="J9" s="2"/>
      <x:c r="K9" s="2"/>
      <x:c r="L9" s="2"/>
    </x:row>
    <x:row r="10" ht="28" customHeight="1">
      <x:c r="A10" s="2" t="str">
        <x:v>Brick Realm</x:v>
      </x:c>
      <x:c r="B10" s="2" t="str">
        <x:v>Sol / Codex</x:v>
      </x:c>
      <x:c r="C10" s="8" t="n">
        <x:v>32</x:v>
      </x:c>
      <x:c r="D10" s="2" t="n">
        <x:f>SUMIFS(Assets!$M$6:$M$378,Assets!$C$6:$C$378,A10)</x:f>
        <x:v>32</x:v>
      </x:c>
      <x:c r="E10" s="2" t="n">
        <x:f>COUNTIFS(Assets!$C$6:$C$378,A10,Assets!$B$6:$B$378,"Character",Assets!$H$6:$H$378,"Validated")</x:f>
        <x:v>32</x:v>
      </x:c>
      <x:c r="F10" s="2" t="n">
        <x:f>COUNTIFS(Assets!$C$6:$C$378,A10,Assets!$B$6:$B$378,"Character",Assets!$I$6:$I$378,"Play proven")</x:f>
        <x:v>0</x:v>
      </x:c>
      <x:c r="G10" s="2" t="n">
        <x:f>C10-D10</x:f>
        <x:v>0</x:v>
      </x:c>
      <x:c r="H10" s="2" t="n">
        <x:f>COUNTIFS(Assets!$C$6:$C$378,A10)</x:f>
        <x:v>56</x:v>
      </x:c>
      <x:c r="I10" s="2"/>
      <x:c r="J10" s="2"/>
      <x:c r="K10" s="2"/>
      <x:c r="L10" s="2"/>
    </x:row>
    <x:row r="11" ht="28" customHeight="1">
      <x:c r="A11" s="2" t="str">
        <x:v>The Parcels</x:v>
      </x:c>
      <x:c r="B11" s="2" t="str">
        <x:v>Sol / Codex</x:v>
      </x:c>
      <x:c r="C11" s="8" t="n">
        <x:v>32</x:v>
      </x:c>
      <x:c r="D11" s="2" t="n">
        <x:f>SUMIFS(Assets!$M$6:$M$378,Assets!$C$6:$C$378,A11)</x:f>
        <x:v>32</x:v>
      </x:c>
      <x:c r="E11" s="2" t="n">
        <x:f>COUNTIFS(Assets!$C$6:$C$378,A11,Assets!$B$6:$B$378,"Character",Assets!$H$6:$H$378,"Validated")</x:f>
        <x:v>32</x:v>
      </x:c>
      <x:c r="F11" s="2" t="n">
        <x:f>COUNTIFS(Assets!$C$6:$C$378,A11,Assets!$B$6:$B$378,"Character",Assets!$I$6:$I$378,"Play proven")</x:f>
        <x:v>0</x:v>
      </x:c>
      <x:c r="G11" s="2" t="n">
        <x:f>C11-D11</x:f>
        <x:v>0</x:v>
      </x:c>
      <x:c r="H11" s="2" t="n">
        <x:f>COUNTIFS(Assets!$C$6:$C$378,A11)</x:f>
        <x:v>56</x:v>
      </x:c>
      <x:c r="I11" s="2"/>
      <x:c r="J11" s="2"/>
      <x:c r="K11" s="2"/>
      <x:c r="L11" s="2"/>
    </x:row>
    <x:row r="12">
      <x:c r="A12" s="2" t="str">
        <x:v>Ocean Realm</x:v>
      </x:c>
      <x:c r="B12" s="2" t="str">
        <x:v>Sol / Codex</x:v>
      </x:c>
      <x:c r="C12" s="2" t="str"/>
      <x:c r="D12" s="2" t="n">
        <x:f>SUMIFS(Assets!$M$6:$M$378,Assets!$C$6:$C$378,A12)</x:f>
        <x:v>0</x:v>
      </x:c>
      <x:c r="E12" s="2" t="n">
        <x:f>COUNTIFS(Assets!$C$6:$C$378,A12,Assets!$B$6:$B$378,"Character",Assets!$H$6:$H$378,"Validated")</x:f>
        <x:v>0</x:v>
      </x:c>
      <x:c r="F12" s="2" t="n">
        <x:f>COUNTIFS(Assets!$C$6:$C$378,A12,Assets!$B$6:$B$378,"Character",Assets!$I$6:$I$378,"Play proven")</x:f>
        <x:v>0</x:v>
      </x:c>
      <x:c r="G12" s="2" t="str">
        <x:f>IF(C12="","",C12-D12)</x:f>
      </x:c>
      <x:c r="H12" s="2" t="n">
        <x:f>COUNTIF(Assets!C6:C378,A12)</x:f>
        <x:v>4</x:v>
      </x:c>
      <x:c r="I12" s="2"/>
      <x:c r="J12" s="2"/>
      <x:c r="K12" s="2"/>
      <x:c r="L12" s="2"/>
    </x:row>
    <x:row r="13">
      <x:c r="A13" s="2" t="str">
        <x:v>World Zero</x:v>
      </x:c>
      <x:c r="B13" s="2" t="str">
        <x:v>Sol / Codex</x:v>
      </x:c>
      <x:c r="C13" s="8" t="n">
        <x:v>12</x:v>
      </x:c>
      <x:c r="D13" s="2" t="n">
        <x:f>SUMIFS(Assets!$M$6:$M$378,Assets!$C$6:$C$378,A13)</x:f>
        <x:v>12</x:v>
      </x:c>
      <x:c r="E13" s="2" t="n">
        <x:v>0</x:v>
      </x:c>
      <x:c r="F13" s="2" t="n">
        <x:f>COUNTIFS(Assets!$C$6:$C$378,A13,Assets!$B$6:$B$378,"Character",Assets!$I$6:$I$378,"Play proven")</x:f>
        <x:v>0</x:v>
      </x:c>
      <x:c r="G13" s="2" t="n">
        <x:f>C13-D13</x:f>
        <x:v>0</x:v>
      </x:c>
      <x:c r="H13" s="2" t="n">
        <x:f>COUNTIFS(Assets!$C$6:$C$378,A13)</x:f>
        <x:v>24</x:v>
      </x:c>
      <x:c r="I13" s="2"/>
      <x:c r="J13" s="2"/>
      <x:c r="K13" s="2"/>
      <x:c r="L13" s="2"/>
    </x:row>
    <x:row r="14">
      <x:c r="A14" s="2" t="str">
        <x:v>Delivered triangles</x:v>
      </x:c>
      <x:c r="B14" s="6" t="n">
        <x:f>SUM(Assets!E6:E378)</x:f>
        <x:v>396300</x:v>
      </x:c>
      <x:c r="C14" s="2"/>
      <x:c r="D14" s="2"/>
      <x:c r="E14" s="2"/>
      <x:c r="F14" s="2"/>
      <x:c r="G14" s="2"/>
      <x:c r="H14" s="2"/>
      <x:c r="I14" s="2"/>
      <x:c r="J14" s="2"/>
      <x:c r="K14" s="2"/>
      <x:c r="L14" s="2"/>
    </x:row>
    <x:row r="15">
      <x:c r="A15" s="2" t="str">
        <x:v>Static meshes delivered</x:v>
      </x:c>
      <x:c r="B15" s="6" t="n">
        <x:f>COUNTIFS(Assets!B6:B378,"Prop")+COUNTIFS(Assets!B6:B378,"Item")</x:f>
        <x:v>152</x:v>
      </x:c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>
      <x:c r="A17" s="2" t="str">
        <x:v>373 asset references. Added 18 island meshes and six Shardstead worker prototypes. Native collision, binding and Play proof remain pending.</x:v>
      </x:c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</x:row>
    <x:row r="18">
      <x:c r="A18" s="2" t="str">
        <x:v>Ocean character-role target is not set yet; terrain and vessel props add no character roles.</x:v>
      </x:c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>
      <x:c r="A20" s="21" t="str">
        <x:v>Approved population</x:v>
      </x:c>
      <x:c r="B20" s="21" t="str">
        <x:v>Target individuals</x:v>
      </x:c>
      <x:c r="C20" s="21" t="str">
        <x:v>Validated candidates</x:v>
      </x:c>
      <x:c r="D20" s="21" t="str">
        <x:v>Play proven</x:v>
      </x:c>
      <x:c r="E20" s="21" t="str">
        <x:v>Remaining art</x:v>
      </x:c>
      <x:c r="F20" s="2"/>
      <x:c r="G20" s="2"/>
      <x:c r="H20" s="2"/>
      <x:c r="I20" s="2"/>
      <x:c r="J20" s="2"/>
      <x:c r="K20" s="2"/>
      <x:c r="L20" s="2"/>
    </x:row>
    <x:row r="21">
      <x:c r="A21" s="2" t="str">
        <x:v>Enemies</x:v>
      </x:c>
      <x:c r="B21" s="2" t="n">
        <x:v>500</x:v>
      </x:c>
      <x:c r="C21" s="2" t="n">
        <x:v>10</x:v>
      </x:c>
      <x:c r="D21" s="2" t="n">
        <x:v>0</x:v>
      </x:c>
      <x:c r="E21" s="2" t="n">
        <x:v>490</x:v>
      </x:c>
      <x:c r="F21" s="2"/>
      <x:c r="G21" s="2"/>
      <x:c r="H21" s="2"/>
      <x:c r="I21" s="2"/>
      <x:c r="J21" s="2"/>
      <x:c r="K21" s="2"/>
      <x:c r="L21" s="2"/>
    </x:row>
    <x:row r="22">
      <x:c r="A22" s="2" t="str">
        <x:v>Friendlies</x:v>
      </x:c>
      <x:c r="B22" s="2" t="n">
        <x:v>500</x:v>
      </x:c>
      <x:c r="C22" s="2" t="n">
        <x:v>0</x:v>
      </x:c>
      <x:c r="D22" s="2" t="n">
        <x:v>0</x:v>
      </x:c>
      <x:c r="E22" s="2" t="n">
        <x:v>500</x:v>
      </x:c>
      <x:c r="F22" s="2"/>
      <x:c r="G22" s="2"/>
      <x:c r="H22" s="2"/>
      <x:c r="I22" s="2"/>
      <x:c r="J22" s="2"/>
      <x:c r="K22" s="2"/>
      <x:c r="L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>
      <x:c r="A24" s="2" t="str">
        <x:v>50 types × 10 each per side. Population IDs linked to ten slime candidates. Boss designs are separate proposals.</x:v>
      </x:c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5" hidden="0" customWidth="1"/>
    <x:col min="2" max="2" width="14" hidden="0" customWidth="1"/>
    <x:col min="3" max="3" width="15" hidden="0" customWidth="1"/>
    <x:col min="4" max="4" width="47" hidden="0" customWidth="1"/>
    <x:col min="5" max="5" width="13" hidden="0" customWidth="1"/>
    <x:col min="6" max="6" width="27" hidden="0" customWidth="1"/>
    <x:col min="7" max="7" width="18" hidden="0" customWidth="1"/>
    <x:col min="8" max="8" width="16" hidden="0" customWidth="1"/>
    <x:col min="9" max="9" width="18" hidden="0" customWidth="1"/>
    <x:col min="10" max="10" width="24" hidden="0" customWidth="1"/>
    <x:col min="11" max="11" width="51" hidden="0" customWidth="1"/>
    <x:col min="12" max="12" width="70" hidden="0" customWidth="1"/>
    <x:col min="13" max="13" width="14" hidden="0" customWidth="1"/>
    <x:col min="14" max="14" width="28" hidden="0" customWidth="1"/>
    <x:col min="17" max="17" width="4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A2" s="3" t="str">
        <x:v>Realm upgrade asset register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>
      <x:c r="A4" s="2" t="str">
        <x:v>Codex export register; excludes other teams. Validation is not visual approval or Play proof. LODs count as exports, not new roles.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6" customHeight="1">
      <x:c r="A5" s="12" t="str">
        <x:v>Asset ID</x:v>
      </x:c>
      <x:c r="B5" s="12" t="str">
        <x:v>Kind</x:v>
      </x:c>
      <x:c r="C5" s="12" t="str">
        <x:v>Realm</x:v>
      </x:c>
      <x:c r="D5" s="12" t="str">
        <x:v>Gameplay role</x:v>
      </x:c>
      <x:c r="E5" s="12" t="str">
        <x:v>Triangles</x:v>
      </x:c>
      <x:c r="F5" s="12" t="str">
        <x:v>Rig</x:v>
      </x:c>
      <x:c r="G5" s="12" t="str">
        <x:v>Clips</x:v>
      </x:c>
      <x:c r="H5" s="12" t="str">
        <x:v>Export</x:v>
      </x:c>
      <x:c r="I5" s="12" t="str">
        <x:v>Unreal</x:v>
      </x:c>
      <x:c r="J5" s="12" t="str">
        <x:v>Mechanic</x:v>
      </x:c>
      <x:c r="K5" s="12" t="str">
        <x:v>File</x:v>
      </x:c>
      <x:c r="L5" s="12" t="str">
        <x:v>SHA256</x:v>
      </x:c>
      <x:c r="M5" s="15" t="str">
        <x:v>Role count</x:v>
      </x:c>
      <x:c r="N5" s="15" t="str">
        <x:v>Source monster</x:v>
      </x:c>
      <x:c r="O5" s="19" t="str">
        <x:v>Population ID</x:v>
      </x:c>
      <x:c r="P5" s="19" t="str">
        <x:v>LOD level</x:v>
      </x:c>
      <x:c r="Q5" s="25" t="str">
        <x:v>Provenance</x:v>
      </x:c>
    </x:row>
    <x:row r="6" ht="38" customHeight="1">
      <x:c r="A6" s="2" t="str">
        <x:v>Mob_Lab_Wayfinder</x:v>
      </x:c>
      <x:c r="B6" s="2" t="str">
        <x:v>Character</x:v>
      </x:c>
      <x:c r="C6" s="2" t="str">
        <x:v>Labyrinth</x:v>
      </x:c>
      <x:c r="D6" s="4" t="str">
        <x:v>Hero: thread, chalk and compass</x:v>
      </x:c>
      <x:c r="E6" s="6" t="n">
        <x:v>1424</x:v>
      </x:c>
      <x:c r="F6" s="2" t="str">
        <x:v>LabyrinthHumanoidV1</x:v>
      </x:c>
      <x:c r="G6" s="4" t="str">
        <x:v>Idle, Walk</x:v>
      </x:c>
      <x:c r="H6" s="2" t="str">
        <x:v>Validated</x:v>
      </x:c>
      <x:c r="I6" s="2" t="str">
        <x:v>Pending</x:v>
      </x:c>
      <x:c r="J6" s="2" t="str">
        <x:v>Binding pending</x:v>
      </x:c>
      <x:c r="K6" s="2" t="str">
        <x:v>humanoids/Mob_Lab_Wayfinder.glb</x:v>
      </x:c>
      <x:c r="L6" s="2" t="str">
        <x:v>23a0dbf916f8072fd723c07843f6c951b9db14de2b3766118159b5970ec0c39a</x:v>
      </x:c>
      <x:c r="M6" s="16" t="n">
        <x:v>1</x:v>
      </x:c>
      <x:c r="N6" s="1" t="str">
        <x:v>n.a.</x:v>
      </x:c>
    </x:row>
    <x:row r="7" ht="38" customHeight="1">
      <x:c r="A7" s="2" t="str">
        <x:v>Mob_Lab_ThreadSpinnerAri</x:v>
      </x:c>
      <x:c r="B7" s="2" t="str">
        <x:v>Character</x:v>
      </x:c>
      <x:c r="C7" s="2" t="str">
        <x:v>Labyrinth</x:v>
      </x:c>
      <x:c r="D7" s="4" t="str">
        <x:v>NPC: thread supply and path-marking quests</x:v>
      </x:c>
      <x:c r="E7" s="6" t="n">
        <x:v>1348</x:v>
      </x:c>
      <x:c r="F7" s="2" t="str">
        <x:v>LabyrinthHumanoidV1</x:v>
      </x:c>
      <x:c r="G7" s="4" t="str">
        <x:v>Idle, Walk</x:v>
      </x:c>
      <x:c r="H7" s="2" t="str">
        <x:v>Validated</x:v>
      </x:c>
      <x:c r="I7" s="2" t="str">
        <x:v>Pending</x:v>
      </x:c>
      <x:c r="J7" s="2" t="str">
        <x:v>Binding pending</x:v>
      </x:c>
      <x:c r="K7" s="2" t="str">
        <x:v>humanoids/Mob_Lab_ThreadSpinnerAri.glb</x:v>
      </x:c>
      <x:c r="L7" s="2" t="str">
        <x:v>bcfedd7548a969cab174803e6797649ab61f98b15663e43a9df14e991473377c</x:v>
      </x:c>
      <x:c r="M7" s="16" t="n">
        <x:v>1</x:v>
      </x:c>
      <x:c r="N7" s="1" t="str">
        <x:v>n.a.</x:v>
      </x:c>
    </x:row>
    <x:row r="8" ht="38" customHeight="1">
      <x:c r="A8" s="2" t="str">
        <x:v>Mob_Lab_LanternKeeper</x:v>
      </x:c>
      <x:c r="B8" s="2" t="str">
        <x:v>Character</x:v>
      </x:c>
      <x:c r="C8" s="2" t="str">
        <x:v>Labyrinth</x:v>
      </x:c>
      <x:c r="D8" s="4" t="str">
        <x:v>NPC: light supply and route guidance</x:v>
      </x:c>
      <x:c r="E8" s="6" t="n">
        <x:v>1462</x:v>
      </x:c>
      <x:c r="F8" s="2" t="str">
        <x:v>LabyrinthHumanoidV1</x:v>
      </x:c>
      <x:c r="G8" s="4" t="str">
        <x:v>Idle, Walk</x:v>
      </x:c>
      <x:c r="H8" s="2" t="str">
        <x:v>Validated</x:v>
      </x:c>
      <x:c r="I8" s="2" t="str">
        <x:v>Pending</x:v>
      </x:c>
      <x:c r="J8" s="2" t="str">
        <x:v>Binding pending</x:v>
      </x:c>
      <x:c r="K8" s="2" t="str">
        <x:v>humanoids/Mob_Lab_LanternKeeper.glb</x:v>
      </x:c>
      <x:c r="L8" s="2" t="str">
        <x:v>774f490f86c68f31e54934e5ee6942c229a18901012df95cb0f4d723403e2504</x:v>
      </x:c>
      <x:c r="M8" s="16" t="n">
        <x:v>1</x:v>
      </x:c>
      <x:c r="N8" s="1" t="str">
        <x:v>n.a.</x:v>
      </x:c>
    </x:row>
    <x:row r="9" ht="38" customHeight="1">
      <x:c r="A9" s="2" t="str">
        <x:v>Mob_Lab_Wallwright</x:v>
      </x:c>
      <x:c r="B9" s="2" t="str">
        <x:v>Character</x:v>
      </x:c>
      <x:c r="C9" s="2" t="str">
        <x:v>Labyrinth</x:v>
      </x:c>
      <x:c r="D9" s="4" t="str">
        <x:v>NPC: maze repairs and wall routes</x:v>
      </x:c>
      <x:c r="E9" s="6" t="n">
        <x:v>1160</x:v>
      </x:c>
      <x:c r="F9" s="2" t="str">
        <x:v>LabyrinthHumanoidV1</x:v>
      </x:c>
      <x:c r="G9" s="4" t="str">
        <x:v>Idle, Walk</x:v>
      </x:c>
      <x:c r="H9" s="2" t="str">
        <x:v>Validated</x:v>
      </x:c>
      <x:c r="I9" s="2" t="str">
        <x:v>Pending</x:v>
      </x:c>
      <x:c r="J9" s="2" t="str">
        <x:v>Binding pending</x:v>
      </x:c>
      <x:c r="K9" s="2" t="str">
        <x:v>humanoids/Mob_Lab_Wallwright.glb</x:v>
      </x:c>
      <x:c r="L9" s="2" t="str">
        <x:v>807e1be254f08222dd0705e08ac6ba04f47162de9d9d6acc41ecc6d49f7482a2</x:v>
      </x:c>
      <x:c r="M9" s="16" t="n">
        <x:v>1</x:v>
      </x:c>
      <x:c r="N9" s="1" t="str">
        <x:v>n.a.</x:v>
      </x:c>
    </x:row>
    <x:row r="10" ht="38" customHeight="1">
      <x:c r="A10" s="2" t="str">
        <x:v>Mob_Lab_LostCartographer</x:v>
      </x:c>
      <x:c r="B10" s="2" t="str">
        <x:v>Character</x:v>
      </x:c>
      <x:c r="C10" s="2" t="str">
        <x:v>Labyrinth</x:v>
      </x:c>
      <x:c r="D10" s="4" t="str">
        <x:v>NPC: partial maps and survey quests</x:v>
      </x:c>
      <x:c r="E10" s="6" t="n">
        <x:v>1152</x:v>
      </x:c>
      <x:c r="F10" s="2" t="str">
        <x:v>LabyrinthHumanoidV1</x:v>
      </x:c>
      <x:c r="G10" s="4" t="str">
        <x:v>Idle, Walk</x:v>
      </x:c>
      <x:c r="H10" s="2" t="str">
        <x:v>Validated</x:v>
      </x:c>
      <x:c r="I10" s="2" t="str">
        <x:v>Pending</x:v>
      </x:c>
      <x:c r="J10" s="2" t="str">
        <x:v>Binding pending</x:v>
      </x:c>
      <x:c r="K10" s="2" t="str">
        <x:v>humanoids/Mob_Lab_LostCartographer.glb</x:v>
      </x:c>
      <x:c r="L10" s="2" t="str">
        <x:v>28b68b8bd6603488c14d3cd67e67efde1aa118f0f8e65c409c03108a18d63270</x:v>
      </x:c>
      <x:c r="M10" s="16" t="n">
        <x:v>1</x:v>
      </x:c>
      <x:c r="N10" s="1" t="str">
        <x:v>n.a.</x:v>
      </x:c>
    </x:row>
    <x:row r="11" ht="38" customHeight="1">
      <x:c r="A11" s="2" t="str">
        <x:v>Mob_Lab_EchoHermit</x:v>
      </x:c>
      <x:c r="B11" s="2" t="str">
        <x:v>Character</x:v>
      </x:c>
      <x:c r="C11" s="2" t="str">
        <x:v>Labyrinth</x:v>
      </x:c>
      <x:c r="D11" s="4" t="str">
        <x:v>NPC: dead-end echo hints</x:v>
      </x:c>
      <x:c r="E11" s="6" t="n">
        <x:v>1238</x:v>
      </x:c>
      <x:c r="F11" s="2" t="str">
        <x:v>LabyrinthHumanoidV1</x:v>
      </x:c>
      <x:c r="G11" s="4" t="str">
        <x:v>Idle, Walk</x:v>
      </x:c>
      <x:c r="H11" s="2" t="str">
        <x:v>Validated</x:v>
      </x:c>
      <x:c r="I11" s="2" t="str">
        <x:v>Pending</x:v>
      </x:c>
      <x:c r="J11" s="2" t="str">
        <x:v>Binding pending</x:v>
      </x:c>
      <x:c r="K11" s="2" t="str">
        <x:v>humanoids/Mob_Lab_EchoHermit.glb</x:v>
      </x:c>
      <x:c r="L11" s="2" t="str">
        <x:v>69de9cfae1c9ad5cd9cb0f06058cd94d6c77973d0ef4c73ac99601ccc14c703e</x:v>
      </x:c>
      <x:c r="M11" s="16" t="n">
        <x:v>1</x:v>
      </x:c>
      <x:c r="N11" s="1" t="str">
        <x:v>n.a.</x:v>
      </x:c>
    </x:row>
    <x:row r="12" ht="38" customHeight="1">
      <x:c r="A12" s="2" t="str">
        <x:v>Mob_Lab_GateRiddler</x:v>
      </x:c>
      <x:c r="B12" s="2" t="str">
        <x:v>Character</x:v>
      </x:c>
      <x:c r="C12" s="2" t="str">
        <x:v>Labyrinth</x:v>
      </x:c>
      <x:c r="D12" s="4" t="str">
        <x:v>NPC: riddle gates</x:v>
      </x:c>
      <x:c r="E12" s="6" t="n">
        <x:v>1116</x:v>
      </x:c>
      <x:c r="F12" s="2" t="str">
        <x:v>LabyrinthHumanoidV1</x:v>
      </x:c>
      <x:c r="G12" s="4" t="str">
        <x:v>Idle, Walk</x:v>
      </x:c>
      <x:c r="H12" s="2" t="str">
        <x:v>Validated</x:v>
      </x:c>
      <x:c r="I12" s="2" t="str">
        <x:v>Pending</x:v>
      </x:c>
      <x:c r="J12" s="2" t="str">
        <x:v>Binding pending</x:v>
      </x:c>
      <x:c r="K12" s="2" t="str">
        <x:v>humanoids/Mob_Lab_GateRiddler.glb</x:v>
      </x:c>
      <x:c r="L12" s="2" t="str">
        <x:v>0f7909b381c616f22fdeb669b4e451a590576e9889f771a38748522e7c3a907c</x:v>
      </x:c>
      <x:c r="M12" s="16" t="n">
        <x:v>1</x:v>
      </x:c>
      <x:c r="N12" s="1" t="str">
        <x:v>n.a.</x:v>
      </x:c>
    </x:row>
    <x:row r="13" ht="38" customHeight="1">
      <x:c r="A13" s="2" t="str">
        <x:v>Mob_Lab_StriderTamerOona</x:v>
      </x:c>
      <x:c r="B13" s="2" t="str">
        <x:v>Character</x:v>
      </x:c>
      <x:c r="C13" s="2" t="str">
        <x:v>Labyrinth</x:v>
      </x:c>
      <x:c r="D13" s="4" t="str">
        <x:v>NPC: sky-strider care and rides</x:v>
      </x:c>
      <x:c r="E13" s="6" t="n">
        <x:v>1282</x:v>
      </x:c>
      <x:c r="F13" s="2" t="str">
        <x:v>LabyrinthHumanoidV1</x:v>
      </x:c>
      <x:c r="G13" s="4" t="str">
        <x:v>Idle, Walk</x:v>
      </x:c>
      <x:c r="H13" s="2" t="str">
        <x:v>Validated</x:v>
      </x:c>
      <x:c r="I13" s="2" t="str">
        <x:v>Pending</x:v>
      </x:c>
      <x:c r="J13" s="2" t="str">
        <x:v>Binding pending</x:v>
      </x:c>
      <x:c r="K13" s="2" t="str">
        <x:v>humanoids/Mob_Lab_StriderTamerOona.glb</x:v>
      </x:c>
      <x:c r="L13" s="2" t="str">
        <x:v>ceddc141b60c94a164e5f27036c01ea11745325d175024146782a757d54c6f62</x:v>
      </x:c>
      <x:c r="M13" s="16" t="n">
        <x:v>1</x:v>
      </x:c>
      <x:c r="N13" s="1" t="str">
        <x:v>n.a.</x:v>
      </x:c>
    </x:row>
    <x:row r="14" ht="38" customHeight="1">
      <x:c r="A14" s="2" t="str">
        <x:v>Mob_Lab_StatueGardener</x:v>
      </x:c>
      <x:c r="B14" s="2" t="str">
        <x:v>Character</x:v>
      </x:c>
      <x:c r="C14" s="2" t="str">
        <x:v>Labyrinth</x:v>
      </x:c>
      <x:c r="D14" s="4" t="str">
        <x:v>NPC: hedge growth and recovery</x:v>
      </x:c>
      <x:c r="E14" s="6" t="n">
        <x:v>1312</x:v>
      </x:c>
      <x:c r="F14" s="2" t="str">
        <x:v>LabyrinthHumanoidV1</x:v>
      </x:c>
      <x:c r="G14" s="4" t="str">
        <x:v>Idle, Walk</x:v>
      </x:c>
      <x:c r="H14" s="2" t="str">
        <x:v>Validated</x:v>
      </x:c>
      <x:c r="I14" s="2" t="str">
        <x:v>Pending</x:v>
      </x:c>
      <x:c r="J14" s="2" t="str">
        <x:v>Binding pending</x:v>
      </x:c>
      <x:c r="K14" s="2" t="str">
        <x:v>humanoids/Mob_Lab_StatueGardener.glb</x:v>
      </x:c>
      <x:c r="L14" s="2" t="str">
        <x:v>f82d5bd015001655e2622d0245d3c950448287860d431e7c0cee976132d0982c</x:v>
      </x:c>
      <x:c r="M14" s="16" t="n">
        <x:v>1</x:v>
      </x:c>
      <x:c r="N14" s="1" t="str">
        <x:v>n.a.</x:v>
      </x:c>
    </x:row>
    <x:row r="15" ht="38" customHeight="1">
      <x:c r="A15" s="2" t="str">
        <x:v>Mob_Lab_HerdWardenTobi</x:v>
      </x:c>
      <x:c r="B15" s="2" t="str">
        <x:v>Character</x:v>
      </x:c>
      <x:c r="C15" s="2" t="str">
        <x:v>Labyrinth</x:v>
      </x:c>
      <x:c r="D15" s="4" t="str">
        <x:v>NPC: Hornback care and calming</x:v>
      </x:c>
      <x:c r="E15" s="6" t="n">
        <x:v>1300</x:v>
      </x:c>
      <x:c r="F15" s="2" t="str">
        <x:v>LabyrinthHumanoidV1</x:v>
      </x:c>
      <x:c r="G15" s="4" t="str">
        <x:v>Idle, Walk</x:v>
      </x:c>
      <x:c r="H15" s="2" t="str">
        <x:v>Validated</x:v>
      </x:c>
      <x:c r="I15" s="2" t="str">
        <x:v>Pending</x:v>
      </x:c>
      <x:c r="J15" s="2" t="str">
        <x:v>Binding pending</x:v>
      </x:c>
      <x:c r="K15" s="2" t="str">
        <x:v>humanoids/Mob_Lab_HerdWardenTobi.glb</x:v>
      </x:c>
      <x:c r="L15" s="2" t="str">
        <x:v>0445e89efeda53e07862e404a349012a08820e33397ef75f530914fea930259c</x:v>
      </x:c>
      <x:c r="M15" s="16" t="n">
        <x:v>1</x:v>
      </x:c>
      <x:c r="N15" s="1" t="str">
        <x:v>n.a.</x:v>
      </x:c>
    </x:row>
    <x:row r="16" ht="38" customHeight="1">
      <x:c r="A16" s="2" t="str">
        <x:v>Mob_Lab_Trapsmith</x:v>
      </x:c>
      <x:c r="B16" s="2" t="str">
        <x:v>Character</x:v>
      </x:c>
      <x:c r="C16" s="2" t="str">
        <x:v>Labyrinth</x:v>
      </x:c>
      <x:c r="D16" s="4" t="str">
        <x:v>NPC: trap detection and disarming</x:v>
      </x:c>
      <x:c r="E16" s="6" t="n">
        <x:v>1212</x:v>
      </x:c>
      <x:c r="F16" s="2" t="str">
        <x:v>LabyrinthHumanoidV1</x:v>
      </x:c>
      <x:c r="G16" s="4" t="str">
        <x:v>Idle, Walk</x:v>
      </x:c>
      <x:c r="H16" s="2" t="str">
        <x:v>Validated</x:v>
      </x:c>
      <x:c r="I16" s="2" t="str">
        <x:v>Pending</x:v>
      </x:c>
      <x:c r="J16" s="2" t="str">
        <x:v>Binding pending</x:v>
      </x:c>
      <x:c r="K16" s="2" t="str">
        <x:v>humanoids/Mob_Lab_Trapsmith.glb</x:v>
      </x:c>
      <x:c r="L16" s="2" t="str">
        <x:v>613a5ec457fd79cf2fc72cc5c2359a288eb599e6cce638475056ea060c2a593d</x:v>
      </x:c>
      <x:c r="M16" s="16" t="n">
        <x:v>1</x:v>
      </x:c>
      <x:c r="N16" s="1" t="str">
        <x:v>n.a.</x:v>
      </x:c>
    </x:row>
    <x:row r="17" ht="38" customHeight="1">
      <x:c r="A17" s="2" t="str">
        <x:v>Mob_Lab_TwinDoors</x:v>
      </x:c>
      <x:c r="B17" s="2" t="str">
        <x:v>Character</x:v>
      </x:c>
      <x:c r="C17" s="2" t="str">
        <x:v>Labyrinth</x:v>
      </x:c>
      <x:c r="D17" s="4" t="str">
        <x:v>NPC: paired truth and lie puzzle</x:v>
      </x:c>
      <x:c r="E17" s="6" t="n">
        <x:v>1508</x:v>
      </x:c>
      <x:c r="F17" s="2" t="str">
        <x:v>LabyrinthHumanoidV1</x:v>
      </x:c>
      <x:c r="G17" s="4" t="str">
        <x:v>Idle, Walk</x:v>
      </x:c>
      <x:c r="H17" s="2" t="str">
        <x:v>Validated</x:v>
      </x:c>
      <x:c r="I17" s="2" t="str">
        <x:v>Pending</x:v>
      </x:c>
      <x:c r="J17" s="2" t="str">
        <x:v>Binding pending</x:v>
      </x:c>
      <x:c r="K17" s="2" t="str">
        <x:v>humanoids/Mob_Lab_TwinDoors.glb</x:v>
      </x:c>
      <x:c r="L17" s="2" t="str">
        <x:v>fe35fbe638c9885924d82a8f113731acb6f8d96fff6632d10e24b19984411f20</x:v>
      </x:c>
      <x:c r="M17" s="16" t="n">
        <x:v>1</x:v>
      </x:c>
      <x:c r="N17" s="1" t="str">
        <x:v>n.a.</x:v>
      </x:c>
    </x:row>
    <x:row r="18" ht="38" customHeight="1">
      <x:c r="A18" s="2" t="str">
        <x:v>Mob_Lab_ArchitectApprentice</x:v>
      </x:c>
      <x:c r="B18" s="2" t="str">
        <x:v>Character</x:v>
      </x:c>
      <x:c r="C18" s="2" t="str">
        <x:v>Labyrinth</x:v>
      </x:c>
      <x:c r="D18" s="4" t="str">
        <x:v>NPC: lost construction records</x:v>
      </x:c>
      <x:c r="E18" s="6" t="n">
        <x:v>1152</x:v>
      </x:c>
      <x:c r="F18" s="2" t="str">
        <x:v>LabyrinthHumanoidV1</x:v>
      </x:c>
      <x:c r="G18" s="4" t="str">
        <x:v>Idle, Walk</x:v>
      </x:c>
      <x:c r="H18" s="2" t="str">
        <x:v>Validated</x:v>
      </x:c>
      <x:c r="I18" s="2" t="str">
        <x:v>Pending</x:v>
      </x:c>
      <x:c r="J18" s="2" t="str">
        <x:v>Binding pending</x:v>
      </x:c>
      <x:c r="K18" s="2" t="str">
        <x:v>humanoids/Mob_Lab_ArchitectApprentice.glb</x:v>
      </x:c>
      <x:c r="L18" s="2" t="str">
        <x:v>9cb6d95a44f5a31f73923862e90636b89cd95eb9438977c22e58a6b67ba6473e</x:v>
      </x:c>
      <x:c r="M18" s="16" t="n">
        <x:v>1</x:v>
      </x:c>
      <x:c r="N18" s="1" t="str">
        <x:v>n.a.</x:v>
      </x:c>
    </x:row>
    <x:row r="19" ht="38" customHeight="1">
      <x:c r="A19" s="2" t="str">
        <x:v>Mob_Lab_CornerRat</x:v>
      </x:c>
      <x:c r="B19" s="2" t="str">
        <x:v>Character</x:v>
      </x:c>
      <x:c r="C19" s="2" t="str">
        <x:v>Labyrinth</x:v>
      </x:c>
      <x:c r="D19" s="4" t="str">
        <x:v>Common: scavenger in corners</x:v>
      </x:c>
      <x:c r="E19" s="6" t="n">
        <x:v>732</x:v>
      </x:c>
      <x:c r="F19" s="2" t="str">
        <x:v>LabyrinthCreatureV1</x:v>
      </x:c>
      <x:c r="G19" s="4" t="str">
        <x:v>Idle, Move</x:v>
      </x:c>
      <x:c r="H19" s="2" t="str">
        <x:v>Validated</x:v>
      </x:c>
      <x:c r="I19" s="2" t="str">
        <x:v>Pending</x:v>
      </x:c>
      <x:c r="J19" s="2" t="str">
        <x:v>Binding pending</x:v>
      </x:c>
      <x:c r="K19" s="2" t="str">
        <x:v>creatures/Mob_Lab_CornerRat.glb</x:v>
      </x:c>
      <x:c r="L19" s="2" t="str">
        <x:v>061590277d1afc31434c5a7143a345748491c497824de28d4f82366b5f56d15b</x:v>
      </x:c>
      <x:c r="M19" s="16" t="n">
        <x:v>1</x:v>
      </x:c>
      <x:c r="N19" s="1" t="str">
        <x:v>n.a.</x:v>
      </x:c>
    </x:row>
    <x:row r="20" ht="38" customHeight="1">
      <x:c r="A20" s="2" t="str">
        <x:v>Mob_Lab_ChalkEater</x:v>
      </x:c>
      <x:c r="B20" s="2" t="str">
        <x:v>Character</x:v>
      </x:c>
      <x:c r="C20" s="2" t="str">
        <x:v>Labyrinth</x:v>
      </x:c>
      <x:c r="D20" s="4" t="str">
        <x:v>Common: consumes path chalk</x:v>
      </x:c>
      <x:c r="E20" s="6" t="n">
        <x:v>1004</x:v>
      </x:c>
      <x:c r="F20" s="2" t="str">
        <x:v>LabyrinthCreatureV1</x:v>
      </x:c>
      <x:c r="G20" s="4" t="str">
        <x:v>Idle, Move</x:v>
      </x:c>
      <x:c r="H20" s="2" t="str">
        <x:v>Validated</x:v>
      </x:c>
      <x:c r="I20" s="2" t="str">
        <x:v>Pending</x:v>
      </x:c>
      <x:c r="J20" s="2" t="str">
        <x:v>Binding pending</x:v>
      </x:c>
      <x:c r="K20" s="2" t="str">
        <x:v>creatures/Mob_Lab_ChalkEater.glb</x:v>
      </x:c>
      <x:c r="L20" s="2" t="str">
        <x:v>14206299ddfffc459398e45667736621f69113211ae08e787407740fde4f5485</x:v>
      </x:c>
      <x:c r="M20" s="16" t="n">
        <x:v>1</x:v>
      </x:c>
      <x:c r="N20" s="1" t="str">
        <x:v>n.a.</x:v>
      </x:c>
    </x:row>
    <x:row r="21" ht="38" customHeight="1">
      <x:c r="A21" s="2" t="str">
        <x:v>Mob_Lab_GlowGrub</x:v>
      </x:c>
      <x:c r="B21" s="2" t="str">
        <x:v>Character</x:v>
      </x:c>
      <x:c r="C21" s="2" t="str">
        <x:v>Labyrinth</x:v>
      </x:c>
      <x:c r="D21" s="4" t="str">
        <x:v>Common: living light trail</x:v>
      </x:c>
      <x:c r="E21" s="6" t="n">
        <x:v>1224</x:v>
      </x:c>
      <x:c r="F21" s="2" t="str">
        <x:v>LabyrinthCreatureV1</x:v>
      </x:c>
      <x:c r="G21" s="4" t="str">
        <x:v>Idle, Move</x:v>
      </x:c>
      <x:c r="H21" s="2" t="str">
        <x:v>Validated</x:v>
      </x:c>
      <x:c r="I21" s="2" t="str">
        <x:v>Pending</x:v>
      </x:c>
      <x:c r="J21" s="2" t="str">
        <x:v>Binding pending</x:v>
      </x:c>
      <x:c r="K21" s="2" t="str">
        <x:v>creatures/Mob_Lab_GlowGrub.glb</x:v>
      </x:c>
      <x:c r="L21" s="2" t="str">
        <x:v>c51f441ec25c06876867d1c779ed520c16a1ce416c1daaec8b305d95369d79a2</x:v>
      </x:c>
      <x:c r="M21" s="16" t="n">
        <x:v>1</x:v>
      </x:c>
      <x:c r="N21" s="1" t="str">
        <x:v>n.a.</x:v>
      </x:c>
    </x:row>
    <x:row r="22" ht="38" customHeight="1">
      <x:c r="A22" s="2" t="str">
        <x:v>Mob_Lab_HedgeStalker</x:v>
      </x:c>
      <x:c r="B22" s="2" t="str">
        <x:v>Character</x:v>
      </x:c>
      <x:c r="C22" s="2" t="str">
        <x:v>Labyrinth</x:v>
      </x:c>
      <x:c r="D22" s="4" t="str">
        <x:v>Uncommon: hedge ambush</x:v>
      </x:c>
      <x:c r="E22" s="6" t="n">
        <x:v>792</x:v>
      </x:c>
      <x:c r="F22" s="2" t="str">
        <x:v>LabyrinthCreatureV1</x:v>
      </x:c>
      <x:c r="G22" s="4" t="str">
        <x:v>Idle, Move</x:v>
      </x:c>
      <x:c r="H22" s="2" t="str">
        <x:v>Validated</x:v>
      </x:c>
      <x:c r="I22" s="2" t="str">
        <x:v>Pending</x:v>
      </x:c>
      <x:c r="J22" s="2" t="str">
        <x:v>Binding pending</x:v>
      </x:c>
      <x:c r="K22" s="2" t="str">
        <x:v>creatures/Mob_Lab_HedgeStalker.glb</x:v>
      </x:c>
      <x:c r="L22" s="2" t="str">
        <x:v>566fbfff07cce28dd0c095a8673b129d10abec94b1bce553595ab76425cf0ee4</x:v>
      </x:c>
      <x:c r="M22" s="16" t="n">
        <x:v>1</x:v>
      </x:c>
      <x:c r="N22" s="1" t="str">
        <x:v>n.a.</x:v>
      </x:c>
    </x:row>
    <x:row r="23" ht="38" customHeight="1">
      <x:c r="A23" s="2" t="str">
        <x:v>Mob_Lab_MirrorBat</x:v>
      </x:c>
      <x:c r="B23" s="2" t="str">
        <x:v>Character</x:v>
      </x:c>
      <x:c r="C23" s="2" t="str">
        <x:v>Labyrinth</x:v>
      </x:c>
      <x:c r="D23" s="4" t="str">
        <x:v>Uncommon: misleading reflections</x:v>
      </x:c>
      <x:c r="E23" s="6" t="n">
        <x:v>976</x:v>
      </x:c>
      <x:c r="F23" s="2" t="str">
        <x:v>LabyrinthCreatureV1</x:v>
      </x:c>
      <x:c r="G23" s="4" t="str">
        <x:v>Idle, Move</x:v>
      </x:c>
      <x:c r="H23" s="2" t="str">
        <x:v>Validated</x:v>
      </x:c>
      <x:c r="I23" s="2" t="str">
        <x:v>Pending</x:v>
      </x:c>
      <x:c r="J23" s="2" t="str">
        <x:v>Binding pending</x:v>
      </x:c>
      <x:c r="K23" s="2" t="str">
        <x:v>creatures/Mob_Lab_MirrorBat.glb</x:v>
      </x:c>
      <x:c r="L23" s="2" t="str">
        <x:v>0cff5adc884981fc6280ee6a334932bb53d29894f89736efb6303a2d0a39925a</x:v>
      </x:c>
      <x:c r="M23" s="16" t="n">
        <x:v>1</x:v>
      </x:c>
      <x:c r="N23" s="1" t="str">
        <x:v>n.a.</x:v>
      </x:c>
    </x:row>
    <x:row r="24" ht="38" customHeight="1">
      <x:c r="A24" s="2" t="str">
        <x:v>Mob_Lab_WallMimic</x:v>
      </x:c>
      <x:c r="B24" s="2" t="str">
        <x:v>Character</x:v>
      </x:c>
      <x:c r="C24" s="2" t="str">
        <x:v>Labyrinth</x:v>
      </x:c>
      <x:c r="D24" s="4" t="str">
        <x:v>Rare: false doorway</x:v>
      </x:c>
      <x:c r="E24" s="6" t="n">
        <x:v>372</x:v>
      </x:c>
      <x:c r="F24" s="2" t="str">
        <x:v>LabyrinthCreatureV1</x:v>
      </x:c>
      <x:c r="G24" s="4" t="str">
        <x:v>Idle, Move</x:v>
      </x:c>
      <x:c r="H24" s="2" t="str">
        <x:v>Validated</x:v>
      </x:c>
      <x:c r="I24" s="2" t="str">
        <x:v>Pending</x:v>
      </x:c>
      <x:c r="J24" s="2" t="str">
        <x:v>Binding pending</x:v>
      </x:c>
      <x:c r="K24" s="2" t="str">
        <x:v>creatures/Mob_Lab_WallMimic.glb</x:v>
      </x:c>
      <x:c r="L24" s="2" t="str">
        <x:v>717df98ea67bd85e114334848a766d4150d108c094821a19940d38ed3b1de0dd</x:v>
      </x:c>
      <x:c r="M24" s="16" t="n">
        <x:v>1</x:v>
      </x:c>
      <x:c r="N24" s="1" t="str">
        <x:v>n.a.</x:v>
      </x:c>
    </x:row>
    <x:row r="25" ht="38" customHeight="1">
      <x:c r="A25" s="2" t="str">
        <x:v>Mob_Lab_ThreadSpider</x:v>
      </x:c>
      <x:c r="B25" s="2" t="str">
        <x:v>Character</x:v>
      </x:c>
      <x:c r="C25" s="2" t="str">
        <x:v>Labyrinth</x:v>
      </x:c>
      <x:c r="D25" s="4" t="str">
        <x:v>Rare: cuts marked thread</x:v>
      </x:c>
      <x:c r="E25" s="6" t="n">
        <x:v>1032</x:v>
      </x:c>
      <x:c r="F25" s="2" t="str">
        <x:v>LabyrinthCreatureV1</x:v>
      </x:c>
      <x:c r="G25" s="4" t="str">
        <x:v>Idle, Move</x:v>
      </x:c>
      <x:c r="H25" s="2" t="str">
        <x:v>Validated</x:v>
      </x:c>
      <x:c r="I25" s="2" t="str">
        <x:v>Pending</x:v>
      </x:c>
      <x:c r="J25" s="2" t="str">
        <x:v>Binding pending</x:v>
      </x:c>
      <x:c r="K25" s="2" t="str">
        <x:v>creatures/Mob_Lab_ThreadSpider.glb</x:v>
      </x:c>
      <x:c r="L25" s="2" t="str">
        <x:v>6bf20b547f0ec612aff41fd674cf6991bf2d6b176acf98c535d00001c54245e5</x:v>
      </x:c>
      <x:c r="M25" s="16" t="n">
        <x:v>1</x:v>
      </x:c>
      <x:c r="N25" s="1" t="str">
        <x:v>n.a.</x:v>
      </x:c>
    </x:row>
    <x:row r="26" ht="38" customHeight="1">
      <x:c r="A26" s="2" t="str">
        <x:v>Mob_Lab_HornbackBull</x:v>
      </x:c>
      <x:c r="B26" s="2" t="str">
        <x:v>Character</x:v>
      </x:c>
      <x:c r="C26" s="2" t="str">
        <x:v>Labyrinth</x:v>
      </x:c>
      <x:c r="D26" s="4" t="str">
        <x:v>Elite: corridor stampede</x:v>
      </x:c>
      <x:c r="E26" s="6" t="n">
        <x:v>776</x:v>
      </x:c>
      <x:c r="F26" s="2" t="str">
        <x:v>LabyrinthCreatureV1</x:v>
      </x:c>
      <x:c r="G26" s="4" t="str">
        <x:v>Idle, Move</x:v>
      </x:c>
      <x:c r="H26" s="2" t="str">
        <x:v>Validated</x:v>
      </x:c>
      <x:c r="I26" s="2" t="str">
        <x:v>Pending</x:v>
      </x:c>
      <x:c r="J26" s="2" t="str">
        <x:v>Binding pending</x:v>
      </x:c>
      <x:c r="K26" s="2" t="str">
        <x:v>creatures/Mob_Lab_HornbackBull.glb</x:v>
      </x:c>
      <x:c r="L26" s="2" t="str">
        <x:v>ec0fe6b272f4703405495685b33a0693209b7b6eb96bdb6f794ba2095c51a4d4</x:v>
      </x:c>
      <x:c r="M26" s="16" t="n">
        <x:v>1</x:v>
      </x:c>
      <x:c r="N26" s="1" t="str">
        <x:v>n.a.</x:v>
      </x:c>
    </x:row>
    <x:row r="27" ht="38" customHeight="1">
      <x:c r="A27" s="2" t="str">
        <x:v>Mob_Lab_SentinelSphinxling</x:v>
      </x:c>
      <x:c r="B27" s="2" t="str">
        <x:v>Character</x:v>
      </x:c>
      <x:c r="C27" s="2" t="str">
        <x:v>Labyrinth</x:v>
      </x:c>
      <x:c r="D27" s="4" t="str">
        <x:v>Elite: guards riddle rooms</x:v>
      </x:c>
      <x:c r="E27" s="6" t="n">
        <x:v>1048</x:v>
      </x:c>
      <x:c r="F27" s="2" t="str">
        <x:v>LabyrinthCreatureV1</x:v>
      </x:c>
      <x:c r="G27" s="4" t="str">
        <x:v>Idle, Move</x:v>
      </x:c>
      <x:c r="H27" s="2" t="str">
        <x:v>Validated</x:v>
      </x:c>
      <x:c r="I27" s="2" t="str">
        <x:v>Pending</x:v>
      </x:c>
      <x:c r="J27" s="2" t="str">
        <x:v>Binding pending</x:v>
      </x:c>
      <x:c r="K27" s="2" t="str">
        <x:v>creatures/Mob_Lab_SentinelSphinxling.glb</x:v>
      </x:c>
      <x:c r="L27" s="2" t="str">
        <x:v>aa184c7564d9dd35f33a8af74a1be96c0ee6012af61a07a79b44bbc43900073c</x:v>
      </x:c>
      <x:c r="M27" s="16" t="n">
        <x:v>1</x:v>
      </x:c>
      <x:c r="N27" s="1" t="str">
        <x:v>n.a.</x:v>
      </x:c>
    </x:row>
    <x:row r="28" ht="38" customHeight="1">
      <x:c r="A28" s="2" t="str">
        <x:v>Mob_Lab_FoldingMaze</x:v>
      </x:c>
      <x:c r="B28" s="2" t="str">
        <x:v>Character</x:v>
      </x:c>
      <x:c r="C28" s="2" t="str">
        <x:v>Labyrinth</x:v>
      </x:c>
      <x:c r="D28" s="4" t="str">
        <x:v>Boss: folding wall creature</x:v>
      </x:c>
      <x:c r="E28" s="6" t="n">
        <x:v>592</x:v>
      </x:c>
      <x:c r="F28" s="2" t="str">
        <x:v>LabyrinthCreatureV1</x:v>
      </x:c>
      <x:c r="G28" s="4" t="str">
        <x:v>Idle, Move</x:v>
      </x:c>
      <x:c r="H28" s="2" t="str">
        <x:v>Validated</x:v>
      </x:c>
      <x:c r="I28" s="2" t="str">
        <x:v>Pending</x:v>
      </x:c>
      <x:c r="J28" s="2" t="str">
        <x:v>Binding pending</x:v>
      </x:c>
      <x:c r="K28" s="2" t="str">
        <x:v>creatures/Mob_Lab_FoldingMaze.glb</x:v>
      </x:c>
      <x:c r="L28" s="2" t="str">
        <x:v>2e0c000556ffa04d56e866f1609dd5aacbe5835760603c80d389daeebafdb6c9</x:v>
      </x:c>
      <x:c r="M28" s="16" t="n">
        <x:v>1</x:v>
      </x:c>
      <x:c r="N28" s="1" t="str">
        <x:v>n.a.</x:v>
      </x:c>
    </x:row>
    <x:row r="29" ht="38" customHeight="1">
      <x:c r="A29" s="2" t="str">
        <x:v>Mob_Lab_MossSnail</x:v>
      </x:c>
      <x:c r="B29" s="2" t="str">
        <x:v>Character</x:v>
      </x:c>
      <x:c r="C29" s="2" t="str">
        <x:v>Labyrinth</x:v>
      </x:c>
      <x:c r="D29" s="4" t="str">
        <x:v>Ambient: moss recycling</x:v>
      </x:c>
      <x:c r="E29" s="6" t="n">
        <x:v>1200</x:v>
      </x:c>
      <x:c r="F29" s="2" t="str">
        <x:v>LabyrinthCreatureV1</x:v>
      </x:c>
      <x:c r="G29" s="4" t="str">
        <x:v>Idle, Move</x:v>
      </x:c>
      <x:c r="H29" s="2" t="str">
        <x:v>Validated</x:v>
      </x:c>
      <x:c r="I29" s="2" t="str">
        <x:v>Pending</x:v>
      </x:c>
      <x:c r="J29" s="2" t="str">
        <x:v>Binding pending</x:v>
      </x:c>
      <x:c r="K29" s="2" t="str">
        <x:v>creatures/Mob_Lab_MossSnail.glb</x:v>
      </x:c>
      <x:c r="L29" s="2" t="str">
        <x:v>8ac45a0c042503a982973c43c7a406364a1d866392726b6b1e3459e37c73d93c</x:v>
      </x:c>
      <x:c r="M29" s="16" t="n">
        <x:v>1</x:v>
      </x:c>
      <x:c r="N29" s="1" t="str">
        <x:v>n.a.</x:v>
      </x:c>
    </x:row>
    <x:row r="30" ht="38" customHeight="1">
      <x:c r="A30" s="2" t="str">
        <x:v>Mob_Lab_EchoCricket</x:v>
      </x:c>
      <x:c r="B30" s="2" t="str">
        <x:v>Character</x:v>
      </x:c>
      <x:c r="C30" s="2" t="str">
        <x:v>Labyrinth</x:v>
      </x:c>
      <x:c r="D30" s="4" t="str">
        <x:v>Ambient: echo timing clue</x:v>
      </x:c>
      <x:c r="E30" s="6" t="n">
        <x:v>912</x:v>
      </x:c>
      <x:c r="F30" s="2" t="str">
        <x:v>LabyrinthCreatureV1</x:v>
      </x:c>
      <x:c r="G30" s="4" t="str">
        <x:v>Idle, Move</x:v>
      </x:c>
      <x:c r="H30" s="2" t="str">
        <x:v>Validated</x:v>
      </x:c>
      <x:c r="I30" s="2" t="str">
        <x:v>Pending</x:v>
      </x:c>
      <x:c r="J30" s="2" t="str">
        <x:v>Binding pending</x:v>
      </x:c>
      <x:c r="K30" s="2" t="str">
        <x:v>creatures/Mob_Lab_EchoCricket.glb</x:v>
      </x:c>
      <x:c r="L30" s="2" t="str">
        <x:v>eb67b05c8117251449c5776289248e1e85aee98db195eb54fe2d8d8d1e853625</x:v>
      </x:c>
      <x:c r="M30" s="16" t="n">
        <x:v>1</x:v>
      </x:c>
      <x:c r="N30" s="1" t="str">
        <x:v>n.a.</x:v>
      </x:c>
    </x:row>
    <x:row r="31" ht="38" customHeight="1">
      <x:c r="A31" s="2" t="str">
        <x:v>Mob_Lab_SkyStrider</x:v>
      </x:c>
      <x:c r="B31" s="2" t="str">
        <x:v>Character</x:v>
      </x:c>
      <x:c r="C31" s="2" t="str">
        <x:v>Labyrinth</x:v>
      </x:c>
      <x:c r="D31" s="4" t="str">
        <x:v>Mount: realm sky-strider</x:v>
      </x:c>
      <x:c r="E31" s="6" t="n">
        <x:v>958</x:v>
      </x:c>
      <x:c r="F31" s="2" t="str">
        <x:v>LabyrinthCreatureV1</x:v>
      </x:c>
      <x:c r="G31" s="4" t="str">
        <x:v>Idle, Move</x:v>
      </x:c>
      <x:c r="H31" s="2" t="str">
        <x:v>Validated</x:v>
      </x:c>
      <x:c r="I31" s="2" t="str">
        <x:v>Pending</x:v>
      </x:c>
      <x:c r="J31" s="2" t="str">
        <x:v>Binding pending</x:v>
      </x:c>
      <x:c r="K31" s="2" t="str">
        <x:v>creatures/Mob_Lab_SkyStrider.glb</x:v>
      </x:c>
      <x:c r="L31" s="2" t="str">
        <x:v>3f05fbd534f2ffcd59dcf691d6c7d0766709835614c627aee85029858a2a7589</x:v>
      </x:c>
      <x:c r="M31" s="16" t="n">
        <x:v>1</x:v>
      </x:c>
      <x:c r="N31" s="1" t="str">
        <x:v>n.a.</x:v>
      </x:c>
    </x:row>
    <x:row r="32" ht="38" customHeight="1">
      <x:c r="A32" s="2" t="str">
        <x:v>Mob_Lab_CorridorHound</x:v>
      </x:c>
      <x:c r="B32" s="2" t="str">
        <x:v>Character</x:v>
      </x:c>
      <x:c r="C32" s="2" t="str">
        <x:v>Labyrinth</x:v>
      </x:c>
      <x:c r="D32" s="4" t="str">
        <x:v>Companion: scent route guide</x:v>
      </x:c>
      <x:c r="E32" s="6" t="n">
        <x:v>792</x:v>
      </x:c>
      <x:c r="F32" s="2" t="str">
        <x:v>LabyrinthCreatureV1</x:v>
      </x:c>
      <x:c r="G32" s="4" t="str">
        <x:v>Idle, Move</x:v>
      </x:c>
      <x:c r="H32" s="2" t="str">
        <x:v>Validated</x:v>
      </x:c>
      <x:c r="I32" s="2" t="str">
        <x:v>Pending</x:v>
      </x:c>
      <x:c r="J32" s="2" t="str">
        <x:v>Binding pending</x:v>
      </x:c>
      <x:c r="K32" s="2" t="str">
        <x:v>creatures/Mob_Lab_CorridorHound.glb</x:v>
      </x:c>
      <x:c r="L32" s="2" t="str">
        <x:v>0ad722c9dd37699bba338bcb0948d8b01b89863fc386cbc2c473e5a1a87e75ed</x:v>
      </x:c>
      <x:c r="M32" s="16" t="n">
        <x:v>1</x:v>
      </x:c>
      <x:c r="N32" s="1" t="str">
        <x:v>n.a.</x:v>
      </x:c>
    </x:row>
    <x:row r="33" ht="38" customHeight="1">
      <x:c r="A33" s="2" t="str">
        <x:v>Mob_Lab_LanternWisp</x:v>
      </x:c>
      <x:c r="B33" s="2" t="str">
        <x:v>Character</x:v>
      </x:c>
      <x:c r="C33" s="2" t="str">
        <x:v>Labyrinth</x:v>
      </x:c>
      <x:c r="D33" s="4" t="str">
        <x:v>Companion: bounded route lighting</x:v>
      </x:c>
      <x:c r="E33" s="6" t="n">
        <x:v>348</x:v>
      </x:c>
      <x:c r="F33" s="2" t="str">
        <x:v>LabyrinthCreatureV1</x:v>
      </x:c>
      <x:c r="G33" s="4" t="str">
        <x:v>Idle, Move</x:v>
      </x:c>
      <x:c r="H33" s="2" t="str">
        <x:v>Validated</x:v>
      </x:c>
      <x:c r="I33" s="2" t="str">
        <x:v>Pending</x:v>
      </x:c>
      <x:c r="J33" s="2" t="str">
        <x:v>Binding pending</x:v>
      </x:c>
      <x:c r="K33" s="2" t="str">
        <x:v>creatures/Mob_Lab_LanternWisp.glb</x:v>
      </x:c>
      <x:c r="L33" s="2" t="str">
        <x:v>a027e01473266cecb90084574d159f04ddd250d92e24c3a7024460b5f80bc913</x:v>
      </x:c>
      <x:c r="M33" s="16" t="n">
        <x:v>1</x:v>
      </x:c>
      <x:c r="N33" s="1" t="str">
        <x:v>n.a.</x:v>
      </x:c>
    </x:row>
    <x:row r="34" ht="38" customHeight="1">
      <x:c r="A34" s="2" t="str">
        <x:v>Mob_Lab_ChalkKitten</x:v>
      </x:c>
      <x:c r="B34" s="2" t="str">
        <x:v>Character</x:v>
      </x:c>
      <x:c r="C34" s="2" t="str">
        <x:v>Labyrinth</x:v>
      </x:c>
      <x:c r="D34" s="4" t="str">
        <x:v>Pet: finds chalk caches</x:v>
      </x:c>
      <x:c r="E34" s="6" t="n">
        <x:v>732</x:v>
      </x:c>
      <x:c r="F34" s="2" t="str">
        <x:v>LabyrinthCreatureV1</x:v>
      </x:c>
      <x:c r="G34" s="4" t="str">
        <x:v>Idle, Move</x:v>
      </x:c>
      <x:c r="H34" s="2" t="str">
        <x:v>Validated</x:v>
      </x:c>
      <x:c r="I34" s="2" t="str">
        <x:v>Pending</x:v>
      </x:c>
      <x:c r="J34" s="2" t="str">
        <x:v>Binding pending</x:v>
      </x:c>
      <x:c r="K34" s="2" t="str">
        <x:v>creatures/Mob_Lab_ChalkKitten.glb</x:v>
      </x:c>
      <x:c r="L34" s="2" t="str">
        <x:v>243e02ccecb2c719454881078f9590e1382b75a01840a1208c0c8d1a11f757ed</x:v>
      </x:c>
      <x:c r="M34" s="16" t="n">
        <x:v>1</x:v>
      </x:c>
      <x:c r="N34" s="1" t="str">
        <x:v>n.a.</x:v>
      </x:c>
    </x:row>
    <x:row r="35" ht="38" customHeight="1">
      <x:c r="A35" s="2" t="str">
        <x:v>Mob_Lab_CompassBeetle</x:v>
      </x:c>
      <x:c r="B35" s="2" t="str">
        <x:v>Character</x:v>
      </x:c>
      <x:c r="C35" s="2" t="str">
        <x:v>Labyrinth</x:v>
      </x:c>
      <x:c r="D35" s="4" t="str">
        <x:v>Pet: reacts near exits</x:v>
      </x:c>
      <x:c r="E35" s="6" t="n">
        <x:v>1004</x:v>
      </x:c>
      <x:c r="F35" s="2" t="str">
        <x:v>LabyrinthCreatureV1</x:v>
      </x:c>
      <x:c r="G35" s="4" t="str">
        <x:v>Idle, Move</x:v>
      </x:c>
      <x:c r="H35" s="2" t="str">
        <x:v>Validated</x:v>
      </x:c>
      <x:c r="I35" s="2" t="str">
        <x:v>Pending</x:v>
      </x:c>
      <x:c r="J35" s="2" t="str">
        <x:v>Binding pending</x:v>
      </x:c>
      <x:c r="K35" s="2" t="str">
        <x:v>creatures/Mob_Lab_CompassBeetle.glb</x:v>
      </x:c>
      <x:c r="L35" s="2" t="str">
        <x:v>5edacad7a5ace3a0edbe02fb44ba1b94029e163a6a12c14761f9c37523ba3d1e</x:v>
      </x:c>
      <x:c r="M35" s="16" t="n">
        <x:v>1</x:v>
      </x:c>
      <x:c r="N35" s="1" t="str">
        <x:v>n.a.</x:v>
      </x:c>
    </x:row>
    <x:row r="36" ht="38" customHeight="1">
      <x:c r="A36" s="2" t="str">
        <x:v>Mob_Lab_Mazemouse</x:v>
      </x:c>
      <x:c r="B36" s="2" t="str">
        <x:v>Character</x:v>
      </x:c>
      <x:c r="C36" s="2" t="str">
        <x:v>Labyrinth</x:v>
      </x:c>
      <x:c r="D36" s="4" t="str">
        <x:v>Pet: narrow-gap scout</x:v>
      </x:c>
      <x:c r="E36" s="6" t="n">
        <x:v>732</x:v>
      </x:c>
      <x:c r="F36" s="2" t="str">
        <x:v>LabyrinthCreatureV1</x:v>
      </x:c>
      <x:c r="G36" s="4" t="str">
        <x:v>Idle, Move</x:v>
      </x:c>
      <x:c r="H36" s="2" t="str">
        <x:v>Validated</x:v>
      </x:c>
      <x:c r="I36" s="2" t="str">
        <x:v>Pending</x:v>
      </x:c>
      <x:c r="J36" s="2" t="str">
        <x:v>Binding pending</x:v>
      </x:c>
      <x:c r="K36" s="2" t="str">
        <x:v>creatures/Mob_Lab_Mazemouse.glb</x:v>
      </x:c>
      <x:c r="L36" s="2" t="str">
        <x:v>9eca732e7877a9aa5444f18fcaf00742a0f8809f9a5a9f56b719fd56b2fee6d9</x:v>
      </x:c>
      <x:c r="M36" s="16" t="n">
        <x:v>1</x:v>
      </x:c>
      <x:c r="N36" s="1" t="str">
        <x:v>n.a.</x:v>
      </x:c>
    </x:row>
    <x:row r="37" ht="38" customHeight="1">
      <x:c r="A37" s="2" t="str">
        <x:v>Mob_Lab_ThreadMoth</x:v>
      </x:c>
      <x:c r="B37" s="2" t="str">
        <x:v>Character</x:v>
      </x:c>
      <x:c r="C37" s="2" t="str">
        <x:v>Labyrinth</x:v>
      </x:c>
      <x:c r="D37" s="4" t="str">
        <x:v>Pet: follows marked thread</x:v>
      </x:c>
      <x:c r="E37" s="6" t="n">
        <x:v>1048</x:v>
      </x:c>
      <x:c r="F37" s="2" t="str">
        <x:v>LabyrinthCreatureV1</x:v>
      </x:c>
      <x:c r="G37" s="4" t="str">
        <x:v>Idle, Move</x:v>
      </x:c>
      <x:c r="H37" s="2" t="str">
        <x:v>Validated</x:v>
      </x:c>
      <x:c r="I37" s="2" t="str">
        <x:v>Pending</x:v>
      </x:c>
      <x:c r="J37" s="2" t="str">
        <x:v>Binding pending</x:v>
      </x:c>
      <x:c r="K37" s="2" t="str">
        <x:v>creatures/Mob_Lab_ThreadMoth.glb</x:v>
      </x:c>
      <x:c r="L37" s="2" t="str">
        <x:v>c00a9da9e92622be561ae5ff92d65632af86b3d9ff7509da3dc8dd04f6ac2d29</x:v>
      </x:c>
      <x:c r="M37" s="16" t="n">
        <x:v>1</x:v>
      </x:c>
      <x:c r="N37" s="1" t="str">
        <x:v>n.a.</x:v>
      </x:c>
    </x:row>
    <x:row r="38" ht="38" customHeight="1">
      <x:c r="A38" s="2" t="str">
        <x:v>Mob_Lab_VenusGuide</x:v>
      </x:c>
      <x:c r="B38" s="2" t="str">
        <x:v>Character</x:v>
      </x:c>
      <x:c r="C38" s="2" t="str">
        <x:v>Labyrinth</x:v>
      </x:c>
      <x:c r="D38" s="4" t="str">
        <x:v>Friendly carnivorous helper: guides players and defends against hostiles</x:v>
      </x:c>
      <x:c r="E38" s="6" t="n">
        <x:v>936</x:v>
      </x:c>
      <x:c r="F38" s="2" t="str">
        <x:v>LabyrinthCreatureV1</x:v>
      </x:c>
      <x:c r="G38" s="4" t="str">
        <x:v>Idle, Move</x:v>
      </x:c>
      <x:c r="H38" s="2" t="str">
        <x:v>Validated</x:v>
      </x:c>
      <x:c r="I38" s="2" t="str">
        <x:v>Pending</x:v>
      </x:c>
      <x:c r="J38" s="2" t="str">
        <x:v>Binding pending</x:v>
      </x:c>
      <x:c r="K38" s="2" t="str">
        <x:v>creatures/Mob_Lab_VenusGuide.glb</x:v>
      </x:c>
      <x:c r="L38" s="2" t="str">
        <x:v>b6f44973abe11ea90a1ab7b3e7d4932dfadccb4b6270ad0a96f02d8909244c7e</x:v>
      </x:c>
      <x:c r="M38" s="16" t="n">
        <x:v>1</x:v>
      </x:c>
      <x:c r="N38" s="1" t="str">
        <x:v>n.a.</x:v>
      </x:c>
    </x:row>
    <x:row r="39" ht="38" customHeight="1">
      <x:c r="A39" s="2" t="str">
        <x:v>Mob_Lab_PitcherMedic</x:v>
      </x:c>
      <x:c r="B39" s="2" t="str">
        <x:v>Character</x:v>
      </x:c>
      <x:c r="C39" s="2" t="str">
        <x:v>Labyrinth</x:v>
      </x:c>
      <x:c r="D39" s="4" t="str">
        <x:v>Friendly carnivorous helper: offers safe shelter and healing quests</x:v>
      </x:c>
      <x:c r="E39" s="6" t="n">
        <x:v>748</x:v>
      </x:c>
      <x:c r="F39" s="2" t="str">
        <x:v>LabyrinthCreatureV1</x:v>
      </x:c>
      <x:c r="G39" s="4" t="str">
        <x:v>Idle, Move</x:v>
      </x:c>
      <x:c r="H39" s="2" t="str">
        <x:v>Validated</x:v>
      </x:c>
      <x:c r="I39" s="2" t="str">
        <x:v>Pending</x:v>
      </x:c>
      <x:c r="J39" s="2" t="str">
        <x:v>Binding pending</x:v>
      </x:c>
      <x:c r="K39" s="2" t="str">
        <x:v>creatures/Mob_Lab_PitcherMedic.glb</x:v>
      </x:c>
      <x:c r="L39" s="2" t="str">
        <x:v>405a0b79a40166dbca5ec6e2757d82d6cc285117e994bd5e09aaae5484821113</x:v>
      </x:c>
      <x:c r="M39" s="16" t="n">
        <x:v>1</x:v>
      </x:c>
      <x:c r="N39" s="1" t="str">
        <x:v>n.a.</x:v>
      </x:c>
    </x:row>
    <x:row r="40" ht="38" customHeight="1">
      <x:c r="A40" s="2" t="str">
        <x:v>Mob_Lab_SundewGuardian</x:v>
      </x:c>
      <x:c r="B40" s="2" t="str">
        <x:v>Character</x:v>
      </x:c>
      <x:c r="C40" s="2" t="str">
        <x:v>Labyrinth</x:v>
      </x:c>
      <x:c r="D40" s="4" t="str">
        <x:v>Friendly carnivorous helper: slows hostile pursuers, never players</x:v>
      </x:c>
      <x:c r="E40" s="6" t="n">
        <x:v>1680</x:v>
      </x:c>
      <x:c r="F40" s="2" t="str">
        <x:v>LabyrinthCreatureV1</x:v>
      </x:c>
      <x:c r="G40" s="4" t="str">
        <x:v>Idle, Move</x:v>
      </x:c>
      <x:c r="H40" s="2" t="str">
        <x:v>Validated</x:v>
      </x:c>
      <x:c r="I40" s="2" t="str">
        <x:v>Pending</x:v>
      </x:c>
      <x:c r="J40" s="2" t="str">
        <x:v>Binding pending</x:v>
      </x:c>
      <x:c r="K40" s="2" t="str">
        <x:v>creatures/Mob_Lab_SundewGuardian.glb</x:v>
      </x:c>
      <x:c r="L40" s="2" t="str">
        <x:v>57a02405bceffcb0cfdd098888f577537acd4b2e20af0d29eaaf842baa817104</x:v>
      </x:c>
      <x:c r="M40" s="16" t="n">
        <x:v>1</x:v>
      </x:c>
      <x:c r="N40" s="1" t="str">
        <x:v>n.a.</x:v>
      </x:c>
    </x:row>
    <x:row r="41" ht="38" customHeight="1">
      <x:c r="A41" s="2" t="str">
        <x:v>Prop_Lab_Floor4m</x:v>
      </x:c>
      <x:c r="B41" s="2" t="str">
        <x:v>Prop</x:v>
      </x:c>
      <x:c r="C41" s="2" t="str">
        <x:v>Labyrinth</x:v>
      </x:c>
      <x:c r="D41" s="4" t="str">
        <x:v>4m snapping floor</x:v>
      </x:c>
      <x:c r="E41" s="6" t="n">
        <x:v>44</x:v>
      </x:c>
      <x:c r="F41" s="2" t="str">
        <x:v>static</x:v>
      </x:c>
      <x:c r="G41" s="4" t="str"/>
      <x:c r="H41" s="2" t="str">
        <x:v>Validated</x:v>
      </x:c>
      <x:c r="I41" s="2" t="str">
        <x:v>Pending</x:v>
      </x:c>
      <x:c r="J41" s="2" t="str">
        <x:v>Binding pending</x:v>
      </x:c>
      <x:c r="K41" s="2" t="str">
        <x:v>environment/Prop_Lab_Floor4m.glb</x:v>
      </x:c>
      <x:c r="L41" s="2" t="str">
        <x:v>2c0b0b080a4180699c217b3c89e91d39350a0303cd281cede0ec2d6e1f6870c5</x:v>
      </x:c>
      <x:c r="M41" s="16" t="n">
        <x:v>0</x:v>
      </x:c>
      <x:c r="N41" s="1" t="str">
        <x:v>n.a.</x:v>
      </x:c>
    </x:row>
    <x:row r="42" ht="38" customHeight="1">
      <x:c r="A42" s="2" t="str">
        <x:v>Prop_Lab_Wall4m</x:v>
      </x:c>
      <x:c r="B42" s="2" t="str">
        <x:v>Prop</x:v>
      </x:c>
      <x:c r="C42" s="2" t="str">
        <x:v>Labyrinth</x:v>
      </x:c>
      <x:c r="D42" s="4" t="str">
        <x:v>4m wall with route inset</x:v>
      </x:c>
      <x:c r="E42" s="6" t="n">
        <x:v>132</x:v>
      </x:c>
      <x:c r="F42" s="2" t="str">
        <x:v>static</x:v>
      </x:c>
      <x:c r="G42" s="4" t="str"/>
      <x:c r="H42" s="2" t="str">
        <x:v>Validated</x:v>
      </x:c>
      <x:c r="I42" s="2" t="str">
        <x:v>Pending</x:v>
      </x:c>
      <x:c r="J42" s="2" t="str">
        <x:v>Binding pending</x:v>
      </x:c>
      <x:c r="K42" s="2" t="str">
        <x:v>environment/Prop_Lab_Wall4m.glb</x:v>
      </x:c>
      <x:c r="L42" s="2" t="str">
        <x:v>822ceab583be22880919297f97bbf821aa9612f2a9e2f3ea685113f2a047f8e5</x:v>
      </x:c>
      <x:c r="M42" s="16" t="n">
        <x:v>0</x:v>
      </x:c>
      <x:c r="N42" s="1" t="str">
        <x:v>n.a.</x:v>
      </x:c>
    </x:row>
    <x:row r="43" ht="38" customHeight="1">
      <x:c r="A43" s="2" t="str">
        <x:v>Prop_Lab_Corner4m</x:v>
      </x:c>
      <x:c r="B43" s="2" t="str">
        <x:v>Prop</x:v>
      </x:c>
      <x:c r="C43" s="2" t="str">
        <x:v>Labyrinth</x:v>
      </x:c>
      <x:c r="D43" s="4" t="str">
        <x:v>L-shaped maze corner</x:v>
      </x:c>
      <x:c r="E43" s="6" t="n">
        <x:v>176</x:v>
      </x:c>
      <x:c r="F43" s="2" t="str">
        <x:v>static</x:v>
      </x:c>
      <x:c r="G43" s="4" t="str"/>
      <x:c r="H43" s="2" t="str">
        <x:v>Validated</x:v>
      </x:c>
      <x:c r="I43" s="2" t="str">
        <x:v>Pending</x:v>
      </x:c>
      <x:c r="J43" s="2" t="str">
        <x:v>Binding pending</x:v>
      </x:c>
      <x:c r="K43" s="2" t="str">
        <x:v>environment/Prop_Lab_Corner4m.glb</x:v>
      </x:c>
      <x:c r="L43" s="2" t="str">
        <x:v>990bea2d49c029955691c0d3a648f701b126bf5e70ef505964734a618a02418c</x:v>
      </x:c>
      <x:c r="M43" s="16" t="n">
        <x:v>0</x:v>
      </x:c>
      <x:c r="N43" s="1" t="str">
        <x:v>n.a.</x:v>
      </x:c>
    </x:row>
    <x:row r="44" ht="38" customHeight="1">
      <x:c r="A44" s="2" t="str">
        <x:v>Prop_Lab_GateArch</x:v>
      </x:c>
      <x:c r="B44" s="2" t="str">
        <x:v>Prop</x:v>
      </x:c>
      <x:c r="C44" s="2" t="str">
        <x:v>Labyrinth</x:v>
      </x:c>
      <x:c r="D44" s="4" t="str">
        <x:v>Riddle gate frame</x:v>
      </x:c>
      <x:c r="E44" s="6" t="n">
        <x:v>132</x:v>
      </x:c>
      <x:c r="F44" s="2" t="str">
        <x:v>static</x:v>
      </x:c>
      <x:c r="G44" s="4" t="str"/>
      <x:c r="H44" s="2" t="str">
        <x:v>Validated</x:v>
      </x:c>
      <x:c r="I44" s="2" t="str">
        <x:v>Pending</x:v>
      </x:c>
      <x:c r="J44" s="2" t="str">
        <x:v>Binding pending</x:v>
      </x:c>
      <x:c r="K44" s="2" t="str">
        <x:v>environment/Prop_Lab_GateArch.glb</x:v>
      </x:c>
      <x:c r="L44" s="2" t="str">
        <x:v>ea3a82e7b36a8d629e051c277784fe65f602a76968f4cf684f8a96b475bb4f9a</x:v>
      </x:c>
      <x:c r="M44" s="16" t="n">
        <x:v>0</x:v>
      </x:c>
      <x:c r="N44" s="1" t="str">
        <x:v>n.a.</x:v>
      </x:c>
    </x:row>
    <x:row r="45" ht="38" customHeight="1">
      <x:c r="A45" s="2" t="str">
        <x:v>Prop_Lab_ThreadAnchor</x:v>
      </x:c>
      <x:c r="B45" s="2" t="str">
        <x:v>Prop</x:v>
      </x:c>
      <x:c r="C45" s="2" t="str">
        <x:v>Labyrinth</x:v>
      </x:c>
      <x:c r="D45" s="4" t="str">
        <x:v>Attach persistent route thread</x:v>
      </x:c>
      <x:c r="E45" s="6" t="n">
        <x:v>272</x:v>
      </x:c>
      <x:c r="F45" s="2" t="str">
        <x:v>static</x:v>
      </x:c>
      <x:c r="G45" s="4" t="str"/>
      <x:c r="H45" s="2" t="str">
        <x:v>Validated</x:v>
      </x:c>
      <x:c r="I45" s="2" t="str">
        <x:v>Pending</x:v>
      </x:c>
      <x:c r="J45" s="2" t="str">
        <x:v>Binding pending</x:v>
      </x:c>
      <x:c r="K45" s="2" t="str">
        <x:v>environment/Prop_Lab_ThreadAnchor.glb</x:v>
      </x:c>
      <x:c r="L45" s="2" t="str">
        <x:v>e40b65292bc16202cfd61730baa4ac83326ac3a1732e66d9d41bfc55021ad8f1</x:v>
      </x:c>
      <x:c r="M45" s="16" t="n">
        <x:v>0</x:v>
      </x:c>
      <x:c r="N45" s="1" t="str">
        <x:v>n.a.</x:v>
      </x:c>
    </x:row>
    <x:row r="46" ht="38" customHeight="1">
      <x:c r="A46" s="2" t="str">
        <x:v>Prop_Lab_ChalkMarker</x:v>
      </x:c>
      <x:c r="B46" s="2" t="str">
        <x:v>Prop</x:v>
      </x:c>
      <x:c r="C46" s="2" t="str">
        <x:v>Labyrinth</x:v>
      </x:c>
      <x:c r="D46" s="4" t="str">
        <x:v>Player path marking surface</x:v>
      </x:c>
      <x:c r="E46" s="6" t="n">
        <x:v>132</x:v>
      </x:c>
      <x:c r="F46" s="2" t="str">
        <x:v>static</x:v>
      </x:c>
      <x:c r="G46" s="4" t="str"/>
      <x:c r="H46" s="2" t="str">
        <x:v>Validated</x:v>
      </x:c>
      <x:c r="I46" s="2" t="str">
        <x:v>Pending</x:v>
      </x:c>
      <x:c r="J46" s="2" t="str">
        <x:v>Binding pending</x:v>
      </x:c>
      <x:c r="K46" s="2" t="str">
        <x:v>environment/Prop_Lab_ChalkMarker.glb</x:v>
      </x:c>
      <x:c r="L46" s="2" t="str">
        <x:v>074720f3929340f31f4d712e9275c0fb4400d8368b87ffbd976bdf69b6789aff</x:v>
      </x:c>
      <x:c r="M46" s="16" t="n">
        <x:v>0</x:v>
      </x:c>
      <x:c r="N46" s="1" t="str">
        <x:v>n.a.</x:v>
      </x:c>
    </x:row>
    <x:row r="47" ht="38" customHeight="1">
      <x:c r="A47" s="2" t="str">
        <x:v>Prop_Lab_TrapPlate</x:v>
      </x:c>
      <x:c r="B47" s="2" t="str">
        <x:v>Prop</x:v>
      </x:c>
      <x:c r="C47" s="2" t="str">
        <x:v>Labyrinth</x:v>
      </x:c>
      <x:c r="D47" s="4" t="str">
        <x:v>Readable pressure trap</x:v>
      </x:c>
      <x:c r="E47" s="6" t="n">
        <x:v>142</x:v>
      </x:c>
      <x:c r="F47" s="2" t="str">
        <x:v>static</x:v>
      </x:c>
      <x:c r="G47" s="4" t="str"/>
      <x:c r="H47" s="2" t="str">
        <x:v>Validated</x:v>
      </x:c>
      <x:c r="I47" s="2" t="str">
        <x:v>Pending</x:v>
      </x:c>
      <x:c r="J47" s="2" t="str">
        <x:v>Binding pending</x:v>
      </x:c>
      <x:c r="K47" s="2" t="str">
        <x:v>environment/Prop_Lab_TrapPlate.glb</x:v>
      </x:c>
      <x:c r="L47" s="2" t="str">
        <x:v>e55af118ea01ff32a457b3396ac756f79f3a9d3c2b67229ada95457f5e01c1f6</x:v>
      </x:c>
      <x:c r="M47" s="16" t="n">
        <x:v>0</x:v>
      </x:c>
      <x:c r="N47" s="1" t="str">
        <x:v>n.a.</x:v>
      </x:c>
    </x:row>
    <x:row r="48" ht="38" customHeight="1">
      <x:c r="A48" s="2" t="str">
        <x:v>Prop_Lab_MirrorPanel</x:v>
      </x:c>
      <x:c r="B48" s="2" t="str">
        <x:v>Prop</x:v>
      </x:c>
      <x:c r="C48" s="2" t="str">
        <x:v>Labyrinth</x:v>
      </x:c>
      <x:c r="D48" s="4" t="str">
        <x:v>Reflection puzzle surface</x:v>
      </x:c>
      <x:c r="E48" s="6" t="n">
        <x:v>132</x:v>
      </x:c>
      <x:c r="F48" s="2" t="str">
        <x:v>static</x:v>
      </x:c>
      <x:c r="G48" s="4" t="str"/>
      <x:c r="H48" s="2" t="str">
        <x:v>Validated</x:v>
      </x:c>
      <x:c r="I48" s="2" t="str">
        <x:v>Pending</x:v>
      </x:c>
      <x:c r="J48" s="2" t="str">
        <x:v>Binding pending</x:v>
      </x:c>
      <x:c r="K48" s="2" t="str">
        <x:v>environment/Prop_Lab_MirrorPanel.glb</x:v>
      </x:c>
      <x:c r="L48" s="2" t="str">
        <x:v>4c071b45af920eefbe6d0056bb1cdc2dc96ab85f9352bee645d79b0a7137cfc3</x:v>
      </x:c>
      <x:c r="M48" s="16" t="n">
        <x:v>0</x:v>
      </x:c>
      <x:c r="N48" s="1" t="str">
        <x:v>n.a.</x:v>
      </x:c>
    </x:row>
    <x:row r="49" ht="38" customHeight="1">
      <x:c r="A49" s="2" t="str">
        <x:v>Prop_Lab_HedgePlanter</x:v>
      </x:c>
      <x:c r="B49" s="2" t="str">
        <x:v>Prop</x:v>
      </x:c>
      <x:c r="C49" s="2" t="str">
        <x:v>Labyrinth</x:v>
      </x:c>
      <x:c r="D49" s="4" t="str">
        <x:v>Regrowing hedge obstacle</x:v>
      </x:c>
      <x:c r="E49" s="6" t="n">
        <x:v>448</x:v>
      </x:c>
      <x:c r="F49" s="2" t="str">
        <x:v>static</x:v>
      </x:c>
      <x:c r="G49" s="4" t="str"/>
      <x:c r="H49" s="2" t="str">
        <x:v>Validated</x:v>
      </x:c>
      <x:c r="I49" s="2" t="str">
        <x:v>Pending</x:v>
      </x:c>
      <x:c r="J49" s="2" t="str">
        <x:v>Binding pending</x:v>
      </x:c>
      <x:c r="K49" s="2" t="str">
        <x:v>environment/Prop_Lab_HedgePlanter.glb</x:v>
      </x:c>
      <x:c r="L49" s="2" t="str">
        <x:v>1efc4f87b79cb57207c952dd0c50f91fc3c04954765244cea70b2da18ca58cfb</x:v>
      </x:c>
      <x:c r="M49" s="16" t="n">
        <x:v>0</x:v>
      </x:c>
      <x:c r="N49" s="1" t="str">
        <x:v>n.a.</x:v>
      </x:c>
    </x:row>
    <x:row r="50" ht="38" customHeight="1">
      <x:c r="A50" s="2" t="str">
        <x:v>Prop_Lab_StriderPerch</x:v>
      </x:c>
      <x:c r="B50" s="2" t="str">
        <x:v>Prop</x:v>
      </x:c>
      <x:c r="C50" s="2" t="str">
        <x:v>Labyrinth</x:v>
      </x:c>
      <x:c r="D50" s="4" t="str">
        <x:v>Mount rest and care</x:v>
      </x:c>
      <x:c r="E50" s="6" t="n">
        <x:v>160</x:v>
      </x:c>
      <x:c r="F50" s="2" t="str">
        <x:v>static</x:v>
      </x:c>
      <x:c r="G50" s="4" t="str"/>
      <x:c r="H50" s="2" t="str">
        <x:v>Validated</x:v>
      </x:c>
      <x:c r="I50" s="2" t="str">
        <x:v>Pending</x:v>
      </x:c>
      <x:c r="J50" s="2" t="str">
        <x:v>Binding pending</x:v>
      </x:c>
      <x:c r="K50" s="2" t="str">
        <x:v>environment/Prop_Lab_StriderPerch.glb</x:v>
      </x:c>
      <x:c r="L50" s="2" t="str">
        <x:v>7509d19c809c67db18d3474dcfd086e2f625f0ed14f2b3013280c73e37ba8565</x:v>
      </x:c>
      <x:c r="M50" s="16" t="n">
        <x:v>0</x:v>
      </x:c>
      <x:c r="N50" s="1" t="str">
        <x:v>n.a.</x:v>
      </x:c>
    </x:row>
    <x:row r="51" ht="38" customHeight="1">
      <x:c r="A51" s="2" t="str">
        <x:v>Prop_Lab_HornbackTrough</x:v>
      </x:c>
      <x:c r="B51" s="2" t="str">
        <x:v>Prop</x:v>
      </x:c>
      <x:c r="C51" s="2" t="str">
        <x:v>Labyrinth</x:v>
      </x:c>
      <x:c r="D51" s="4" t="str">
        <x:v>Livestock care and calming</x:v>
      </x:c>
      <x:c r="E51" s="6" t="n">
        <x:v>264</x:v>
      </x:c>
      <x:c r="F51" s="2" t="str">
        <x:v>static</x:v>
      </x:c>
      <x:c r="G51" s="4" t="str"/>
      <x:c r="H51" s="2" t="str">
        <x:v>Validated</x:v>
      </x:c>
      <x:c r="I51" s="2" t="str">
        <x:v>Pending</x:v>
      </x:c>
      <x:c r="J51" s="2" t="str">
        <x:v>Binding pending</x:v>
      </x:c>
      <x:c r="K51" s="2" t="str">
        <x:v>environment/Prop_Lab_HornbackTrough.glb</x:v>
      </x:c>
      <x:c r="L51" s="2" t="str">
        <x:v>acee1bbccc4f88b524def714e3054875d44cee1db435b2702ddab530d7dc419b</x:v>
      </x:c>
      <x:c r="M51" s="16" t="n">
        <x:v>0</x:v>
      </x:c>
      <x:c r="N51" s="1" t="str">
        <x:v>n.a.</x:v>
      </x:c>
    </x:row>
    <x:row r="52" ht="38" customHeight="1">
      <x:c r="A52" s="2" t="str">
        <x:v>Prop_Lab_EchoBell</x:v>
      </x:c>
      <x:c r="B52" s="2" t="str">
        <x:v>Prop</x:v>
      </x:c>
      <x:c r="C52" s="2" t="str">
        <x:v>Labyrinth</x:v>
      </x:c>
      <x:c r="D52" s="4" t="str">
        <x:v>Echo timing puzzle</x:v>
      </x:c>
      <x:c r="E52" s="6" t="n">
        <x:v>212</x:v>
      </x:c>
      <x:c r="F52" s="2" t="str">
        <x:v>static</x:v>
      </x:c>
      <x:c r="G52" s="4" t="str"/>
      <x:c r="H52" s="2" t="str">
        <x:v>Validated</x:v>
      </x:c>
      <x:c r="I52" s="2" t="str">
        <x:v>Pending</x:v>
      </x:c>
      <x:c r="J52" s="2" t="str">
        <x:v>Binding pending</x:v>
      </x:c>
      <x:c r="K52" s="2" t="str">
        <x:v>environment/Prop_Lab_EchoBell.glb</x:v>
      </x:c>
      <x:c r="L52" s="2" t="str">
        <x:v>e9ba537e3aaa041c569b43388d365bd80e759395d23b5f41ac90190ae0464683</x:v>
      </x:c>
      <x:c r="M52" s="16" t="n">
        <x:v>0</x:v>
      </x:c>
      <x:c r="N52" s="1" t="str">
        <x:v>n.a.</x:v>
      </x:c>
    </x:row>
    <x:row r="53" ht="38" customHeight="1">
      <x:c r="A53" s="2" t="str">
        <x:v>Prop_Lab_DM_NarratorLectern</x:v>
      </x:c>
      <x:c r="B53" s="2" t="str">
        <x:v>Prop</x:v>
      </x:c>
      <x:c r="C53" s="2" t="str">
        <x:v>Labyrinth</x:v>
      </x:c>
      <x:c r="D53" s="4" t="str">
        <x:v>Display authoritative narrative and available choices</x:v>
      </x:c>
      <x:c r="E53" s="6" t="n">
        <x:v>60</x:v>
      </x:c>
      <x:c r="F53" s="2" t="str">
        <x:v>static</x:v>
      </x:c>
      <x:c r="G53" s="4" t="str"/>
      <x:c r="H53" s="2" t="str">
        <x:v>Validated</x:v>
      </x:c>
      <x:c r="I53" s="2" t="str">
        <x:v>Pending</x:v>
      </x:c>
      <x:c r="J53" s="2" t="str">
        <x:v>Binding pending</x:v>
      </x:c>
      <x:c r="K53" s="2" t="str">
        <x:v>dungeon-master/Prop_Lab_DM_NarratorLectern.glb</x:v>
      </x:c>
      <x:c r="L53" s="2" t="str">
        <x:v>9da32fe7c6c281d127f4d83c132df70bde73aec13f508120f24b70fd5198af2d</x:v>
      </x:c>
      <x:c r="M53" s="16" t="n">
        <x:v>0</x:v>
      </x:c>
      <x:c r="N53" s="1" t="str">
        <x:v>n.a.</x:v>
      </x:c>
    </x:row>
    <x:row r="54" ht="38" customHeight="1">
      <x:c r="A54" s="2" t="str">
        <x:v>Prop_Lab_DM_ChoiceTrident</x:v>
      </x:c>
      <x:c r="B54" s="2" t="str">
        <x:v>Prop</x:v>
      </x:c>
      <x:c r="C54" s="2" t="str">
        <x:v>Labyrinth</x:v>
      </x:c>
      <x:c r="D54" s="4" t="str">
        <x:v>Select a currently offered choice</x:v>
      </x:c>
      <x:c r="E54" s="6" t="n">
        <x:v>72</x:v>
      </x:c>
      <x:c r="F54" s="2" t="str">
        <x:v>static</x:v>
      </x:c>
      <x:c r="G54" s="4" t="str"/>
      <x:c r="H54" s="2" t="str">
        <x:v>Validated</x:v>
      </x:c>
      <x:c r="I54" s="2" t="str">
        <x:v>Pending</x:v>
      </x:c>
      <x:c r="J54" s="2" t="str">
        <x:v>Binding pending</x:v>
      </x:c>
      <x:c r="K54" s="2" t="str">
        <x:v>dungeon-master/Prop_Lab_DM_ChoiceTrident.glb</x:v>
      </x:c>
      <x:c r="L54" s="2" t="str">
        <x:v>70f2260725eb38e27677b4521d0e422d67a3509fe2bb137aca72e1db27cd94ed</x:v>
      </x:c>
      <x:c r="M54" s="16" t="n">
        <x:v>0</x:v>
      </x:c>
      <x:c r="N54" s="1" t="str">
        <x:v>n.a.</x:v>
      </x:c>
    </x:row>
    <x:row r="55" ht="38" customHeight="1">
      <x:c r="A55" s="2" t="str">
        <x:v>Prop_Lab_DM_ChronicleArchive</x:v>
      </x:c>
      <x:c r="B55" s="2" t="str">
        <x:v>Prop</x:v>
      </x:c>
      <x:c r="C55" s="2" t="str">
        <x:v>Labyrinth</x:v>
      </x:c>
      <x:c r="D55" s="4" t="str">
        <x:v>Read recent history without replaying actions</x:v>
      </x:c>
      <x:c r="E55" s="6" t="n">
        <x:v>144</x:v>
      </x:c>
      <x:c r="F55" s="2" t="str">
        <x:v>static</x:v>
      </x:c>
      <x:c r="G55" s="4" t="str"/>
      <x:c r="H55" s="2" t="str">
        <x:v>Validated</x:v>
      </x:c>
      <x:c r="I55" s="2" t="str">
        <x:v>Pending</x:v>
      </x:c>
      <x:c r="J55" s="2" t="str">
        <x:v>Binding pending</x:v>
      </x:c>
      <x:c r="K55" s="2" t="str">
        <x:v>dungeon-master/Prop_Lab_DM_ChronicleArchive.glb</x:v>
      </x:c>
      <x:c r="L55" s="2" t="str">
        <x:v>bbe6f1a45ded00da8c642c6fe9466b1b6ee022971be03d52e36b6e8b3459038e</x:v>
      </x:c>
      <x:c r="M55" s="16" t="n">
        <x:v>0</x:v>
      </x:c>
      <x:c r="N55" s="1" t="str">
        <x:v>n.a.</x:v>
      </x:c>
    </x:row>
    <x:row r="56" ht="38" customHeight="1">
      <x:c r="A56" s="2" t="str">
        <x:v>Prop_Lab_DM_QuestSeal</x:v>
      </x:c>
      <x:c r="B56" s="2" t="str">
        <x:v>Prop</x:v>
      </x:c>
      <x:c r="C56" s="2" t="str">
        <x:v>Labyrinth</x:v>
      </x:c>
      <x:c r="D56" s="4" t="str">
        <x:v>Show current quest state</x:v>
      </x:c>
      <x:c r="E56" s="6" t="n">
        <x:v>104</x:v>
      </x:c>
      <x:c r="F56" s="2" t="str">
        <x:v>static</x:v>
      </x:c>
      <x:c r="G56" s="4" t="str"/>
      <x:c r="H56" s="2" t="str">
        <x:v>Validated</x:v>
      </x:c>
      <x:c r="I56" s="2" t="str">
        <x:v>Pending</x:v>
      </x:c>
      <x:c r="J56" s="2" t="str">
        <x:v>Binding pending</x:v>
      </x:c>
      <x:c r="K56" s="2" t="str">
        <x:v>dungeon-master/Prop_Lab_DM_QuestSeal.glb</x:v>
      </x:c>
      <x:c r="L56" s="2" t="str">
        <x:v>76d0322743f64940baf1e7ca1aa423b8b3a4e9ac87a14f11c966001476186f6d</x:v>
      </x:c>
      <x:c r="M56" s="16" t="n">
        <x:v>0</x:v>
      </x:c>
      <x:c r="N56" s="1" t="str">
        <x:v>n.a.</x:v>
      </x:c>
    </x:row>
    <x:row r="57" ht="38" customHeight="1">
      <x:c r="A57" s="2" t="str">
        <x:v>Prop_Lab_DM_ReturnWaymarker</x:v>
      </x:c>
      <x:c r="B57" s="2" t="str">
        <x:v>Prop</x:v>
      </x:c>
      <x:c r="C57" s="2" t="str">
        <x:v>Labyrinth</x:v>
      </x:c>
      <x:c r="D57" s="4" t="str">
        <x:v>Local navigation marker, not a realm portal</x:v>
      </x:c>
      <x:c r="E57" s="6" t="n">
        <x:v>64</x:v>
      </x:c>
      <x:c r="F57" s="2" t="str">
        <x:v>static</x:v>
      </x:c>
      <x:c r="G57" s="4" t="str"/>
      <x:c r="H57" s="2" t="str">
        <x:v>Validated</x:v>
      </x:c>
      <x:c r="I57" s="2" t="str">
        <x:v>Pending</x:v>
      </x:c>
      <x:c r="J57" s="2" t="str">
        <x:v>Binding pending</x:v>
      </x:c>
      <x:c r="K57" s="2" t="str">
        <x:v>dungeon-master/Prop_Lab_DM_ReturnWaymarker.glb</x:v>
      </x:c>
      <x:c r="L57" s="2" t="str">
        <x:v>9787ce21f0e4ddf67c3d2d2d08f37709b6ab8026893766a9a4525cc0dc3273aa</x:v>
      </x:c>
      <x:c r="M57" s="16" t="n">
        <x:v>0</x:v>
      </x:c>
      <x:c r="N57" s="1" t="str">
        <x:v>n.a.</x:v>
      </x:c>
    </x:row>
    <x:row r="58" ht="38" customHeight="1">
      <x:c r="A58" s="2" t="str">
        <x:v>Prop_Lab_DM_RiftThreshold</x:v>
      </x:c>
      <x:c r="B58" s="2" t="str">
        <x:v>Prop</x:v>
      </x:c>
      <x:c r="C58" s="2" t="str">
        <x:v>Labyrinth</x:v>
      </x:c>
      <x:c r="D58" s="4" t="str">
        <x:v>Visual dungeon threshold; no automatic realm transfer</x:v>
      </x:c>
      <x:c r="E58" s="6" t="n">
        <x:v>84</x:v>
      </x:c>
      <x:c r="F58" s="2" t="str">
        <x:v>static</x:v>
      </x:c>
      <x:c r="G58" s="4" t="str"/>
      <x:c r="H58" s="2" t="str">
        <x:v>Validated</x:v>
      </x:c>
      <x:c r="I58" s="2" t="str">
        <x:v>Pending</x:v>
      </x:c>
      <x:c r="J58" s="2" t="str">
        <x:v>Binding pending</x:v>
      </x:c>
      <x:c r="K58" s="2" t="str">
        <x:v>dungeon-master/Prop_Lab_DM_RiftThreshold.glb</x:v>
      </x:c>
      <x:c r="L58" s="2" t="str">
        <x:v>0f9fa1b80d3fe808b3a113540d8bb0bd249a68402a12022c213b7c7721ffbb3d</x:v>
      </x:c>
      <x:c r="M58" s="16" t="n">
        <x:v>0</x:v>
      </x:c>
      <x:c r="N58" s="1" t="str">
        <x:v>n.a.</x:v>
      </x:c>
    </x:row>
    <x:row r="59" ht="38" customHeight="1">
      <x:c r="A59" s="2" t="str">
        <x:v>Prop_Lab_DM_PartyRally</x:v>
      </x:c>
      <x:c r="B59" s="2" t="str">
        <x:v>Prop</x:v>
      </x:c>
      <x:c r="C59" s="2" t="str">
        <x:v>Labyrinth</x:v>
      </x:c>
      <x:c r="D59" s="4" t="str">
        <x:v>Display party health and combat state</x:v>
      </x:c>
      <x:c r="E59" s="6" t="n">
        <x:v>248</x:v>
      </x:c>
      <x:c r="F59" s="2" t="str">
        <x:v>static</x:v>
      </x:c>
      <x:c r="G59" s="4" t="str"/>
      <x:c r="H59" s="2" t="str">
        <x:v>Validated</x:v>
      </x:c>
      <x:c r="I59" s="2" t="str">
        <x:v>Pending</x:v>
      </x:c>
      <x:c r="J59" s="2" t="str">
        <x:v>Binding pending</x:v>
      </x:c>
      <x:c r="K59" s="2" t="str">
        <x:v>dungeon-master/Prop_Lab_DM_PartyRally.glb</x:v>
      </x:c>
      <x:c r="L59" s="2" t="str">
        <x:v>b1715048ff420e20b09f13c8ccadb3244ffce0b81a36c55bc0698f7388023c55</x:v>
      </x:c>
      <x:c r="M59" s="16" t="n">
        <x:v>0</x:v>
      </x:c>
      <x:c r="N59" s="1" t="str">
        <x:v>n.a.</x:v>
      </x:c>
    </x:row>
    <x:row r="60" ht="38" customHeight="1">
      <x:c r="A60" s="2" t="str">
        <x:v>Prop_Lab_DM_RewardReliquary</x:v>
      </x:c>
      <x:c r="B60" s="2" t="str">
        <x:v>Prop</x:v>
      </x:c>
      <x:c r="C60" s="2" t="str">
        <x:v>Labyrinth</x:v>
      </x:c>
      <x:c r="D60" s="4" t="str">
        <x:v>Visual reward display; no client-side item grants</x:v>
      </x:c>
      <x:c r="E60" s="6" t="n">
        <x:v>60</x:v>
      </x:c>
      <x:c r="F60" s="2" t="str">
        <x:v>static</x:v>
      </x:c>
      <x:c r="G60" s="4" t="str"/>
      <x:c r="H60" s="2" t="str">
        <x:v>Validated</x:v>
      </x:c>
      <x:c r="I60" s="2" t="str">
        <x:v>Pending</x:v>
      </x:c>
      <x:c r="J60" s="2" t="str">
        <x:v>Binding pending</x:v>
      </x:c>
      <x:c r="K60" s="2" t="str">
        <x:v>dungeon-master/Prop_Lab_DM_RewardReliquary.glb</x:v>
      </x:c>
      <x:c r="L60" s="2" t="str">
        <x:v>e46a09fa3bab8ad96deee9187b365bfabc13b6ed1fa078beac449bcea4a689c8</x:v>
      </x:c>
      <x:c r="M60" s="16" t="n">
        <x:v>0</x:v>
      </x:c>
      <x:c r="N60" s="1" t="str">
        <x:v>n.a.</x:v>
      </x:c>
    </x:row>
    <x:row r="61" ht="38" customHeight="1">
      <x:c r="A61" s="2" t="str">
        <x:v>Prop_Lab_Halloween_PumpkinLantern</x:v>
      </x:c>
      <x:c r="B61" s="2" t="str">
        <x:v>Prop</x:v>
      </x:c>
      <x:c r="C61" s="2" t="str">
        <x:v>Labyrinth</x:v>
      </x:c>
      <x:c r="D61" s="4" t="str">
        <x:v>Labyrinth-exclusive Halloween scenery: PumpkinLantern</x:v>
      </x:c>
      <x:c r="E61" s="6" t="n">
        <x:v>332</x:v>
      </x:c>
      <x:c r="F61" s="2" t="str">
        <x:v>static</x:v>
      </x:c>
      <x:c r="G61" s="4" t="str"/>
      <x:c r="H61" s="2" t="str">
        <x:v>Validated</x:v>
      </x:c>
      <x:c r="I61" s="2" t="str">
        <x:v>Pending</x:v>
      </x:c>
      <x:c r="J61" s="2" t="str">
        <x:v>Binding pending</x:v>
      </x:c>
      <x:c r="K61" s="2" t="str">
        <x:v>halloween/Prop_Lab_Halloween_PumpkinLantern.glb</x:v>
      </x:c>
      <x:c r="L61" s="2" t="str">
        <x:v>db28a8536b7387dd313080e7d2e7306b2585e34c1967f8ba519a11a33b124810</x:v>
      </x:c>
      <x:c r="M61" s="16" t="n">
        <x:v>0</x:v>
      </x:c>
      <x:c r="N61" s="1" t="str">
        <x:v>n.a.</x:v>
      </x:c>
    </x:row>
    <x:row r="62" ht="38" customHeight="1">
      <x:c r="A62" s="2" t="str">
        <x:v>Prop_Lab_Halloween_SkullEffigy</x:v>
      </x:c>
      <x:c r="B62" s="2" t="str">
        <x:v>Prop</x:v>
      </x:c>
      <x:c r="C62" s="2" t="str">
        <x:v>Labyrinth</x:v>
      </x:c>
      <x:c r="D62" s="4" t="str">
        <x:v>Labyrinth-exclusive Halloween scenery: SkullEffigy</x:v>
      </x:c>
      <x:c r="E62" s="6" t="n">
        <x:v>420</x:v>
      </x:c>
      <x:c r="F62" s="2" t="str">
        <x:v>static</x:v>
      </x:c>
      <x:c r="G62" s="4" t="str"/>
      <x:c r="H62" s="2" t="str">
        <x:v>Validated</x:v>
      </x:c>
      <x:c r="I62" s="2" t="str">
        <x:v>Pending</x:v>
      </x:c>
      <x:c r="J62" s="2" t="str">
        <x:v>Binding pending</x:v>
      </x:c>
      <x:c r="K62" s="2" t="str">
        <x:v>halloween/Prop_Lab_Halloween_SkullEffigy.glb</x:v>
      </x:c>
      <x:c r="L62" s="2" t="str">
        <x:v>e2aef2d5e42e0b37b1367bfb159c321de0376c87b2000710eea989e8939cd385</x:v>
      </x:c>
      <x:c r="M62" s="16" t="n">
        <x:v>0</x:v>
      </x:c>
      <x:c r="N62" s="1" t="str">
        <x:v>n.a.</x:v>
      </x:c>
    </x:row>
    <x:row r="63" ht="38" customHeight="1">
      <x:c r="A63" s="2" t="str">
        <x:v>Prop_Lab_Halloween_Gravestone</x:v>
      </x:c>
      <x:c r="B63" s="2" t="str">
        <x:v>Prop</x:v>
      </x:c>
      <x:c r="C63" s="2" t="str">
        <x:v>Labyrinth</x:v>
      </x:c>
      <x:c r="D63" s="4" t="str">
        <x:v>Labyrinth-exclusive Halloween scenery: Gravestone</x:v>
      </x:c>
      <x:c r="E63" s="6" t="n">
        <x:v>296</x:v>
      </x:c>
      <x:c r="F63" s="2" t="str">
        <x:v>static</x:v>
      </x:c>
      <x:c r="G63" s="4" t="str"/>
      <x:c r="H63" s="2" t="str">
        <x:v>Validated</x:v>
      </x:c>
      <x:c r="I63" s="2" t="str">
        <x:v>Pending</x:v>
      </x:c>
      <x:c r="J63" s="2" t="str">
        <x:v>Binding pending</x:v>
      </x:c>
      <x:c r="K63" s="2" t="str">
        <x:v>halloween/Prop_Lab_Halloween_Gravestone.glb</x:v>
      </x:c>
      <x:c r="L63" s="2" t="str">
        <x:v>85bcf39d26346b9f611072a0b03a794ae4b4eac2e4ac3f96f0954b006033be17</x:v>
      </x:c>
      <x:c r="M63" s="16" t="n">
        <x:v>0</x:v>
      </x:c>
      <x:c r="N63" s="1" t="str">
        <x:v>n.a.</x:v>
      </x:c>
    </x:row>
    <x:row r="64" ht="38" customHeight="1">
      <x:c r="A64" s="2" t="str">
        <x:v>Prop_Lab_Halloween_Coffin</x:v>
      </x:c>
      <x:c r="B64" s="2" t="str">
        <x:v>Prop</x:v>
      </x:c>
      <x:c r="C64" s="2" t="str">
        <x:v>Labyrinth</x:v>
      </x:c>
      <x:c r="D64" s="4" t="str">
        <x:v>Labyrinth-exclusive Halloween scenery: Coffin</x:v>
      </x:c>
      <x:c r="E64" s="6" t="n">
        <x:v>220</x:v>
      </x:c>
      <x:c r="F64" s="2" t="str">
        <x:v>static</x:v>
      </x:c>
      <x:c r="G64" s="4" t="str"/>
      <x:c r="H64" s="2" t="str">
        <x:v>Validated</x:v>
      </x:c>
      <x:c r="I64" s="2" t="str">
        <x:v>Pending</x:v>
      </x:c>
      <x:c r="J64" s="2" t="str">
        <x:v>Binding pending</x:v>
      </x:c>
      <x:c r="K64" s="2" t="str">
        <x:v>halloween/Prop_Lab_Halloween_Coffin.glb</x:v>
      </x:c>
      <x:c r="L64" s="2" t="str">
        <x:v>e5e34fc5a86bcdef85f0241523a550ba806a9bbe620f1fe0c2adf627a5493cf0</x:v>
      </x:c>
      <x:c r="M64" s="16" t="n">
        <x:v>0</x:v>
      </x:c>
      <x:c r="N64" s="1" t="str">
        <x:v>n.a.</x:v>
      </x:c>
    </x:row>
    <x:row r="65" ht="38" customHeight="1">
      <x:c r="A65" s="2" t="str">
        <x:v>Prop_Lab_Halloween_Cauldron</x:v>
      </x:c>
      <x:c r="B65" s="2" t="str">
        <x:v>Prop</x:v>
      </x:c>
      <x:c r="C65" s="2" t="str">
        <x:v>Labyrinth</x:v>
      </x:c>
      <x:c r="D65" s="4" t="str">
        <x:v>Labyrinth-exclusive Halloween scenery: Cauldron</x:v>
      </x:c>
      <x:c r="E65" s="6" t="n">
        <x:v>776</x:v>
      </x:c>
      <x:c r="F65" s="2" t="str">
        <x:v>static</x:v>
      </x:c>
      <x:c r="G65" s="4" t="str"/>
      <x:c r="H65" s="2" t="str">
        <x:v>Validated</x:v>
      </x:c>
      <x:c r="I65" s="2" t="str">
        <x:v>Pending</x:v>
      </x:c>
      <x:c r="J65" s="2" t="str">
        <x:v>Binding pending</x:v>
      </x:c>
      <x:c r="K65" s="2" t="str">
        <x:v>halloween/Prop_Lab_Halloween_Cauldron.glb</x:v>
      </x:c>
      <x:c r="L65" s="2" t="str">
        <x:v>103f3bdff559c24118684fc78c6591d1147ca4ce4f005d769ea7e9cd55831c91</x:v>
      </x:c>
      <x:c r="M65" s="16" t="n">
        <x:v>0</x:v>
      </x:c>
      <x:c r="N65" s="1" t="str">
        <x:v>n.a.</x:v>
      </x:c>
    </x:row>
    <x:row r="66" ht="38" customHeight="1">
      <x:c r="A66" s="1" t="str">
        <x:v>Prop_Lab_Halloween_CandleCluster</x:v>
      </x:c>
      <x:c r="B66" s="1" t="str">
        <x:v>Prop</x:v>
      </x:c>
      <x:c r="C66" s="1" t="str">
        <x:v>Labyrinth</x:v>
      </x:c>
      <x:c r="D66" s="5" t="str">
        <x:v>Labyrinth-exclusive Halloween scenery: CandleCluster</x:v>
      </x:c>
      <x:c r="E66" s="7" t="n">
        <x:v>512</x:v>
      </x:c>
      <x:c r="F66" s="1" t="str">
        <x:v>static</x:v>
      </x:c>
      <x:c r="G66" s="5" t="str"/>
      <x:c r="H66" s="1" t="str">
        <x:v>Validated</x:v>
      </x:c>
      <x:c r="I66" s="1" t="str">
        <x:v>Pending</x:v>
      </x:c>
      <x:c r="J66" s="1" t="str">
        <x:v>Binding pending</x:v>
      </x:c>
      <x:c r="K66" s="1" t="str">
        <x:v>halloween/Prop_Lab_Halloween_CandleCluster.glb</x:v>
      </x:c>
      <x:c r="L66" s="1" t="str">
        <x:v>0c3861b58d3911f71e810ec532ffcdd049f2811b264e11cb03b14ca1b15f7db1</x:v>
      </x:c>
      <x:c r="M66" s="16" t="n">
        <x:v>0</x:v>
      </x:c>
      <x:c r="N66" s="1" t="str">
        <x:v>n.a.</x:v>
      </x:c>
    </x:row>
    <x:row r="67" ht="38" customHeight="1">
      <x:c r="A67" s="1" t="str">
        <x:v>Prop_Lab_Halloween_FriendlyGhostLantern</x:v>
      </x:c>
      <x:c r="B67" s="1" t="str">
        <x:v>Prop</x:v>
      </x:c>
      <x:c r="C67" s="1" t="str">
        <x:v>Labyrinth</x:v>
      </x:c>
      <x:c r="D67" s="5" t="str">
        <x:v>Labyrinth-exclusive Halloween scenery: FriendlyGhostLantern</x:v>
      </x:c>
      <x:c r="E67" s="7" t="n">
        <x:v>484</x:v>
      </x:c>
      <x:c r="F67" s="1" t="str">
        <x:v>static</x:v>
      </x:c>
      <x:c r="G67" s="5" t="str"/>
      <x:c r="H67" s="1" t="str">
        <x:v>Validated</x:v>
      </x:c>
      <x:c r="I67" s="1" t="str">
        <x:v>Pending</x:v>
      </x:c>
      <x:c r="J67" s="1" t="str">
        <x:v>Binding pending</x:v>
      </x:c>
      <x:c r="K67" s="1" t="str">
        <x:v>halloween/Prop_Lab_Halloween_FriendlyGhostLantern.glb</x:v>
      </x:c>
      <x:c r="L67" s="1" t="str">
        <x:v>701e9e141903d7b126f67fcfa688a5711fd067b5cb4056a4cf4fcd3f8a5c6030</x:v>
      </x:c>
      <x:c r="M67" s="16" t="n">
        <x:v>0</x:v>
      </x:c>
      <x:c r="N67" s="1" t="str">
        <x:v>n.a.</x:v>
      </x:c>
    </x:row>
    <x:row r="68" ht="38" customHeight="1">
      <x:c r="A68" s="1" t="str">
        <x:v>Prop_Lab_Halloween_WitchHatStand</x:v>
      </x:c>
      <x:c r="B68" s="1" t="str">
        <x:v>Prop</x:v>
      </x:c>
      <x:c r="C68" s="1" t="str">
        <x:v>Labyrinth</x:v>
      </x:c>
      <x:c r="D68" s="5" t="str">
        <x:v>Labyrinth-exclusive Halloween scenery: WitchHatStand</x:v>
      </x:c>
      <x:c r="E68" s="7" t="n">
        <x:v>326</x:v>
      </x:c>
      <x:c r="F68" s="1" t="str">
        <x:v>static</x:v>
      </x:c>
      <x:c r="G68" s="5" t="str"/>
      <x:c r="H68" s="1" t="str">
        <x:v>Validated</x:v>
      </x:c>
      <x:c r="I68" s="1" t="str">
        <x:v>Pending</x:v>
      </x:c>
      <x:c r="J68" s="1" t="str">
        <x:v>Binding pending</x:v>
      </x:c>
      <x:c r="K68" s="1" t="str">
        <x:v>halloween/Prop_Lab_Halloween_WitchHatStand.glb</x:v>
      </x:c>
      <x:c r="L68" s="1" t="str">
        <x:v>ac50ffeadb7c0b7d2f7da2b363053e2cbae8d945757c845627650b5c4d6478d1</x:v>
      </x:c>
      <x:c r="M68" s="16" t="n">
        <x:v>0</x:v>
      </x:c>
      <x:c r="N68" s="1" t="str">
        <x:v>n.a.</x:v>
      </x:c>
    </x:row>
    <x:row r="69" ht="38" customHeight="1">
      <x:c r="A69" s="1" t="str">
        <x:v>Prop_Lab_Halloween_CrowPerch</x:v>
      </x:c>
      <x:c r="B69" s="1" t="str">
        <x:v>Prop</x:v>
      </x:c>
      <x:c r="C69" s="1" t="str">
        <x:v>Labyrinth</x:v>
      </x:c>
      <x:c r="D69" s="5" t="str">
        <x:v>Labyrinth-exclusive Halloween scenery: CrowPerch</x:v>
      </x:c>
      <x:c r="E69" s="7" t="n">
        <x:v>390</x:v>
      </x:c>
      <x:c r="F69" s="1" t="str">
        <x:v>static</x:v>
      </x:c>
      <x:c r="G69" s="5" t="str"/>
      <x:c r="H69" s="1" t="str">
        <x:v>Validated</x:v>
      </x:c>
      <x:c r="I69" s="1" t="str">
        <x:v>Pending</x:v>
      </x:c>
      <x:c r="J69" s="1" t="str">
        <x:v>Binding pending</x:v>
      </x:c>
      <x:c r="K69" s="1" t="str">
        <x:v>halloween/Prop_Lab_Halloween_CrowPerch.glb</x:v>
      </x:c>
      <x:c r="L69" s="1" t="str">
        <x:v>e69b34487e5f19d59ee3a6ffac28b7b8c13c21fa80024626e16734766705101d</x:v>
      </x:c>
      <x:c r="M69" s="16" t="n">
        <x:v>0</x:v>
      </x:c>
      <x:c r="N69" s="1" t="str">
        <x:v>n.a.</x:v>
      </x:c>
    </x:row>
    <x:row r="70" ht="38" customHeight="1">
      <x:c r="A70" s="1" t="str">
        <x:v>Prop_Lab_Halloween_CobwebFrame</x:v>
      </x:c>
      <x:c r="B70" s="1" t="str">
        <x:v>Prop</x:v>
      </x:c>
      <x:c r="C70" s="1" t="str">
        <x:v>Labyrinth</x:v>
      </x:c>
      <x:c r="D70" s="5" t="str">
        <x:v>Labyrinth-exclusive Halloween scenery: CobwebFrame</x:v>
      </x:c>
      <x:c r="E70" s="7" t="n">
        <x:v>1084</x:v>
      </x:c>
      <x:c r="F70" s="1" t="str">
        <x:v>static</x:v>
      </x:c>
      <x:c r="G70" s="5" t="str"/>
      <x:c r="H70" s="1" t="str">
        <x:v>Validated</x:v>
      </x:c>
      <x:c r="I70" s="1" t="str">
        <x:v>Pending</x:v>
      </x:c>
      <x:c r="J70" s="1" t="str">
        <x:v>Binding pending</x:v>
      </x:c>
      <x:c r="K70" s="1" t="str">
        <x:v>halloween/Prop_Lab_Halloween_CobwebFrame.glb</x:v>
      </x:c>
      <x:c r="L70" s="1" t="str">
        <x:v>39794c3573854ee35fe9fde63a2d2d7d79f5cbffc333c51aefdd6a411bf796c8</x:v>
      </x:c>
      <x:c r="M70" s="16" t="n">
        <x:v>0</x:v>
      </x:c>
      <x:c r="N70" s="1" t="str">
        <x:v>n.a.</x:v>
      </x:c>
    </x:row>
    <x:row r="71" ht="38" customHeight="1">
      <x:c r="A71" s="1" t="str">
        <x:v>Prop_Lab_Halloween_CryptGate</x:v>
      </x:c>
      <x:c r="B71" s="1" t="str">
        <x:v>Prop</x:v>
      </x:c>
      <x:c r="C71" s="1" t="str">
        <x:v>Labyrinth</x:v>
      </x:c>
      <x:c r="D71" s="5" t="str">
        <x:v>Labyrinth-exclusive Halloween scenery: CryptGate</x:v>
      </x:c>
      <x:c r="E71" s="7" t="n">
        <x:v>320</x:v>
      </x:c>
      <x:c r="F71" s="1" t="str">
        <x:v>static</x:v>
      </x:c>
      <x:c r="G71" s="5" t="str"/>
      <x:c r="H71" s="1" t="str">
        <x:v>Validated</x:v>
      </x:c>
      <x:c r="I71" s="1" t="str">
        <x:v>Pending</x:v>
      </x:c>
      <x:c r="J71" s="1" t="str">
        <x:v>Binding pending</x:v>
      </x:c>
      <x:c r="K71" s="1" t="str">
        <x:v>halloween/Prop_Lab_Halloween_CryptGate.glb</x:v>
      </x:c>
      <x:c r="L71" s="1" t="str">
        <x:v>4723bd4af08b65f72afbf1ff2a2fe47a51572412fef9a58ec6551ff1fec07785</x:v>
      </x:c>
      <x:c r="M71" s="16" t="n">
        <x:v>0</x:v>
      </x:c>
      <x:c r="N71" s="1" t="str">
        <x:v>n.a.</x:v>
      </x:c>
    </x:row>
    <x:row r="72" ht="38" customHeight="1">
      <x:c r="A72" s="1" t="str">
        <x:v>Prop_Lab_Halloween_PumpkinCrate</x:v>
      </x:c>
      <x:c r="B72" s="1" t="str">
        <x:v>Prop</x:v>
      </x:c>
      <x:c r="C72" s="1" t="str">
        <x:v>Labyrinth</x:v>
      </x:c>
      <x:c r="D72" s="5" t="str">
        <x:v>Labyrinth-exclusive Halloween scenery: PumpkinCrate</x:v>
      </x:c>
      <x:c r="E72" s="7" t="n">
        <x:v>664</x:v>
      </x:c>
      <x:c r="F72" s="1" t="str">
        <x:v>static</x:v>
      </x:c>
      <x:c r="G72" s="5" t="str"/>
      <x:c r="H72" s="1" t="str">
        <x:v>Validated</x:v>
      </x:c>
      <x:c r="I72" s="1" t="str">
        <x:v>Pending</x:v>
      </x:c>
      <x:c r="J72" s="1" t="str">
        <x:v>Binding pending</x:v>
      </x:c>
      <x:c r="K72" s="1" t="str">
        <x:v>halloween/Prop_Lab_Halloween_PumpkinCrate.glb</x:v>
      </x:c>
      <x:c r="L72" s="1" t="str">
        <x:v>bc0c500da953fe2dd5b69ee5e8f3d8837dfd9fd049f9faf93d7e7baab23c8758</x:v>
      </x:c>
      <x:c r="M72" s="16" t="n">
        <x:v>0</x:v>
      </x:c>
      <x:c r="N72" s="1" t="str">
        <x:v>n.a.</x:v>
      </x:c>
    </x:row>
    <x:row r="73" ht="38" customHeight="1">
      <x:c r="A73" s="2" t="str">
        <x:v>Mob_Portal_Knight</x:v>
      </x:c>
      <x:c r="B73" s="2" t="str">
        <x:v>Character</x:v>
      </x:c>
      <x:c r="C73" s="2" t="str">
        <x:v>Portal Realm</x:v>
      </x:c>
      <x:c r="D73" s="4" t="str">
        <x:v>Hero form: armoured sword and shield</x:v>
      </x:c>
      <x:c r="E73" s="6" t="n">
        <x:v>1244</x:v>
      </x:c>
      <x:c r="F73" s="2" t="str">
        <x:v>PortalHumanoidV1</x:v>
      </x:c>
      <x:c r="G73" s="4" t="str">
        <x:v>Idle, Walk, Attack, Hurt</x:v>
      </x:c>
      <x:c r="H73" s="2" t="str">
        <x:v>Validated</x:v>
      </x:c>
      <x:c r="I73" s="2" t="str">
        <x:v>Pending</x:v>
      </x:c>
      <x:c r="J73" s="2" t="str">
        <x:v>Binding pending</x:v>
      </x:c>
      <x:c r="K73" s="2" t="str">
        <x:v>portal-buildout/cast/Mob_Portal_Knight.glb</x:v>
      </x:c>
      <x:c r="L73" s="2" t="str">
        <x:v>4ee5a3da98d8dfc4dce0948be8734489f3e68337f9bbc6eedbd83fc98ebb013b</x:v>
      </x:c>
      <x:c r="M73" s="17" t="n">
        <x:v>1</x:v>
      </x:c>
      <x:c r="N73" s="2" t="str">
        <x:v>n.a.</x:v>
      </x:c>
    </x:row>
    <x:row r="74" ht="38" customHeight="1">
      <x:c r="A74" s="2" t="str">
        <x:v>Mob_Portal_Tinker</x:v>
      </x:c>
      <x:c r="B74" s="2" t="str">
        <x:v>Character</x:v>
      </x:c>
      <x:c r="C74" s="2" t="str">
        <x:v>Portal Realm</x:v>
      </x:c>
      <x:c r="D74" s="4" t="str">
        <x:v>Hero form: tools and mechanical pack</x:v>
      </x:c>
      <x:c r="E74" s="6" t="n">
        <x:v>1216</x:v>
      </x:c>
      <x:c r="F74" s="2" t="str">
        <x:v>PortalHumanoidV1</x:v>
      </x:c>
      <x:c r="G74" s="4" t="str">
        <x:v>Idle, Walk, Attack, Hurt</x:v>
      </x:c>
      <x:c r="H74" s="2" t="str">
        <x:v>Validated</x:v>
      </x:c>
      <x:c r="I74" s="2" t="str">
        <x:v>Pending</x:v>
      </x:c>
      <x:c r="J74" s="2" t="str">
        <x:v>Binding pending</x:v>
      </x:c>
      <x:c r="K74" s="2" t="str">
        <x:v>portal-buildout/cast/Mob_Portal_Tinker.glb</x:v>
      </x:c>
      <x:c r="L74" s="2" t="str">
        <x:v>72721b303cc73e1b3035884f2c4e571550356adfb578719a44e0a5680817b35a</x:v>
      </x:c>
      <x:c r="M74" s="17" t="n">
        <x:v>1</x:v>
      </x:c>
      <x:c r="N74" s="2" t="str">
        <x:v>n.a.</x:v>
      </x:c>
    </x:row>
    <x:row r="75" ht="38" customHeight="1">
      <x:c r="A75" s="2" t="str">
        <x:v>Mob_Portal_Herbalist</x:v>
      </x:c>
      <x:c r="B75" s="2" t="str">
        <x:v>Character</x:v>
      </x:c>
      <x:c r="C75" s="2" t="str">
        <x:v>Portal Realm</x:v>
      </x:c>
      <x:c r="D75" s="4" t="str">
        <x:v>Hero form: staff and ingredient satchel</x:v>
      </x:c>
      <x:c r="E75" s="6" t="n">
        <x:v>1128</x:v>
      </x:c>
      <x:c r="F75" s="2" t="str">
        <x:v>PortalHumanoidV1</x:v>
      </x:c>
      <x:c r="G75" s="4" t="str">
        <x:v>Idle, Walk, Attack, Hurt</x:v>
      </x:c>
      <x:c r="H75" s="2" t="str">
        <x:v>Validated</x:v>
      </x:c>
      <x:c r="I75" s="2" t="str">
        <x:v>Pending</x:v>
      </x:c>
      <x:c r="J75" s="2" t="str">
        <x:v>Binding pending</x:v>
      </x:c>
      <x:c r="K75" s="2" t="str">
        <x:v>portal-buildout/cast/Mob_Portal_Herbalist.glb</x:v>
      </x:c>
      <x:c r="L75" s="2" t="str">
        <x:v>a72a9b7775b2dd4419231993dc580d3ce186f590eb477dc84d0a3744f39e8456</x:v>
      </x:c>
      <x:c r="M75" s="17" t="n">
        <x:v>1</x:v>
      </x:c>
      <x:c r="N75" s="2" t="str">
        <x:v>n.a.</x:v>
      </x:c>
    </x:row>
    <x:row r="76" ht="38" customHeight="1">
      <x:c r="A76" s="2" t="str">
        <x:v>Mob_Portal_Bard</x:v>
      </x:c>
      <x:c r="B76" s="2" t="str">
        <x:v>Character</x:v>
      </x:c>
      <x:c r="C76" s="2" t="str">
        <x:v>Portal Realm</x:v>
      </x:c>
      <x:c r="D76" s="4" t="str">
        <x:v>Hero form: instrument and travel coat</x:v>
      </x:c>
      <x:c r="E76" s="6" t="n">
        <x:v>1128</x:v>
      </x:c>
      <x:c r="F76" s="2" t="str">
        <x:v>PortalHumanoidV1</x:v>
      </x:c>
      <x:c r="G76" s="4" t="str">
        <x:v>Idle, Walk, Attack, Hurt</x:v>
      </x:c>
      <x:c r="H76" s="2" t="str">
        <x:v>Validated</x:v>
      </x:c>
      <x:c r="I76" s="2" t="str">
        <x:v>Pending</x:v>
      </x:c>
      <x:c r="J76" s="2" t="str">
        <x:v>Binding pending</x:v>
      </x:c>
      <x:c r="K76" s="2" t="str">
        <x:v>portal-buildout/cast/Mob_Portal_Bard.glb</x:v>
      </x:c>
      <x:c r="L76" s="2" t="str">
        <x:v>4ccb7276a53f04a6fba95a58ee86a56f2ab4b731606a6cb5c3ce12f7d92a6e53</x:v>
      </x:c>
      <x:c r="M76" s="17" t="n">
        <x:v>1</x:v>
      </x:c>
      <x:c r="N76" s="2" t="str">
        <x:v>n.a.</x:v>
      </x:c>
    </x:row>
    <x:row r="77" ht="38" customHeight="1">
      <x:c r="A77" s="2" t="str">
        <x:v>Mob_Portal_InnkeeperRusk</x:v>
      </x:c>
      <x:c r="B77" s="2" t="str">
        <x:v>Character</x:v>
      </x:c>
      <x:c r="C77" s="2" t="str">
        <x:v>Portal Realm</x:v>
      </x:c>
      <x:c r="D77" s="4" t="str">
        <x:v>Inn and rest</x:v>
      </x:c>
      <x:c r="E77" s="6" t="n">
        <x:v>972</x:v>
      </x:c>
      <x:c r="F77" s="2" t="str">
        <x:v>PortalHumanoidV1</x:v>
      </x:c>
      <x:c r="G77" s="4" t="str">
        <x:v>Idle, Walk, Attack, Hurt</x:v>
      </x:c>
      <x:c r="H77" s="2" t="str">
        <x:v>Validated</x:v>
      </x:c>
      <x:c r="I77" s="2" t="str">
        <x:v>Pending</x:v>
      </x:c>
      <x:c r="J77" s="2" t="str">
        <x:v>Binding pending</x:v>
      </x:c>
      <x:c r="K77" s="2" t="str">
        <x:v>portal-buildout/cast/Mob_Portal_InnkeeperRusk.glb</x:v>
      </x:c>
      <x:c r="L77" s="2" t="str">
        <x:v>921f12ff034598414fd8f22411adfa784f0b9234207ebac7096344f690d78b01</x:v>
      </x:c>
      <x:c r="M77" s="17" t="n">
        <x:v>1</x:v>
      </x:c>
      <x:c r="N77" s="2" t="str">
        <x:v>n.a.</x:v>
      </x:c>
    </x:row>
    <x:row r="78" ht="38" customHeight="1">
      <x:c r="A78" s="2" t="str">
        <x:v>Mob_Portal_SmithGarra</x:v>
      </x:c>
      <x:c r="B78" s="2" t="str">
        <x:v>Character</x:v>
      </x:c>
      <x:c r="C78" s="2" t="str">
        <x:v>Portal Realm</x:v>
      </x:c>
      <x:c r="D78" s="4" t="str">
        <x:v>Equipment upgrades</x:v>
      </x:c>
      <x:c r="E78" s="6" t="n">
        <x:v>980</x:v>
      </x:c>
      <x:c r="F78" s="2" t="str">
        <x:v>PortalHumanoidV1</x:v>
      </x:c>
      <x:c r="G78" s="4" t="str">
        <x:v>Idle, Walk, Attack, Hurt</x:v>
      </x:c>
      <x:c r="H78" s="2" t="str">
        <x:v>Validated</x:v>
      </x:c>
      <x:c r="I78" s="2" t="str">
        <x:v>Pending</x:v>
      </x:c>
      <x:c r="J78" s="2" t="str">
        <x:v>Binding pending</x:v>
      </x:c>
      <x:c r="K78" s="2" t="str">
        <x:v>portal-buildout/cast/Mob_Portal_SmithGarra.glb</x:v>
      </x:c>
      <x:c r="L78" s="2" t="str">
        <x:v>b867c1af8bf453a3b310fe14c60068bfcfce634c1d76b5c56b59e2847769f863</x:v>
      </x:c>
      <x:c r="M78" s="17" t="n">
        <x:v>1</x:v>
      </x:c>
      <x:c r="N78" s="2" t="str">
        <x:v>n.a.</x:v>
      </x:c>
    </x:row>
    <x:row r="79" ht="38" customHeight="1">
      <x:c r="A79" s="2" t="str">
        <x:v>Mob_Portal_ItemShopPim</x:v>
      </x:c>
      <x:c r="B79" s="2" t="str">
        <x:v>Character</x:v>
      </x:c>
      <x:c r="C79" s="2" t="str">
        <x:v>Portal Realm</x:v>
      </x:c>
      <x:c r="D79" s="4" t="str">
        <x:v>Realm supplies</x:v>
      </x:c>
      <x:c r="E79" s="6" t="n">
        <x:v>980</x:v>
      </x:c>
      <x:c r="F79" s="2" t="str">
        <x:v>PortalHumanoidV1</x:v>
      </x:c>
      <x:c r="G79" s="4" t="str">
        <x:v>Idle, Walk, Attack, Hurt</x:v>
      </x:c>
      <x:c r="H79" s="2" t="str">
        <x:v>Validated</x:v>
      </x:c>
      <x:c r="I79" s="2" t="str">
        <x:v>Pending</x:v>
      </x:c>
      <x:c r="J79" s="2" t="str">
        <x:v>Binding pending</x:v>
      </x:c>
      <x:c r="K79" s="2" t="str">
        <x:v>portal-buildout/cast/Mob_Portal_ItemShopPim.glb</x:v>
      </x:c>
      <x:c r="L79" s="2" t="str">
        <x:v>fcbdd2bcc2fb81c10124c9a6ae12c450df71fbf9429e85d49269efdd53917c5e</x:v>
      </x:c>
      <x:c r="M79" s="17" t="n">
        <x:v>1</x:v>
      </x:c>
      <x:c r="N79" s="2" t="str">
        <x:v>n.a.</x:v>
      </x:c>
    </x:row>
    <x:row r="80" ht="38" customHeight="1">
      <x:c r="A80" s="2" t="str">
        <x:v>Mob_Portal_QueenOfCinders</x:v>
      </x:c>
      <x:c r="B80" s="2" t="str">
        <x:v>Character</x:v>
      </x:c>
      <x:c r="C80" s="2" t="str">
        <x:v>Portal Realm</x:v>
      </x:c>
      <x:c r="D80" s="4" t="str">
        <x:v>Castle quest giver</x:v>
      </x:c>
      <x:c r="E80" s="6" t="n">
        <x:v>1026</x:v>
      </x:c>
      <x:c r="F80" s="2" t="str">
        <x:v>PortalHumanoidV1</x:v>
      </x:c>
      <x:c r="G80" s="4" t="str">
        <x:v>Idle, Walk, Attack, Hurt</x:v>
      </x:c>
      <x:c r="H80" s="2" t="str">
        <x:v>Validated</x:v>
      </x:c>
      <x:c r="I80" s="2" t="str">
        <x:v>Pending</x:v>
      </x:c>
      <x:c r="J80" s="2" t="str">
        <x:v>Binding pending</x:v>
      </x:c>
      <x:c r="K80" s="2" t="str">
        <x:v>portal-buildout/cast/Mob_Portal_QueenOfCinders.glb</x:v>
      </x:c>
      <x:c r="L80" s="2" t="str">
        <x:v>bdf965cbba75eeb56b3113206a6bce53775db15c61aa8cef1df4eb544ff9c8d7</x:v>
      </x:c>
      <x:c r="M80" s="17" t="n">
        <x:v>1</x:v>
      </x:c>
      <x:c r="N80" s="2" t="str">
        <x:v>n.a.</x:v>
      </x:c>
    </x:row>
    <x:row r="81" ht="38" customHeight="1">
      <x:c r="A81" s="2" t="str">
        <x:v>Mob_Portal_RoyalScribe</x:v>
      </x:c>
      <x:c r="B81" s="2" t="str">
        <x:v>Character</x:v>
      </x:c>
      <x:c r="C81" s="2" t="str">
        <x:v>Portal Realm</x:v>
      </x:c>
      <x:c r="D81" s="4" t="str">
        <x:v>Save point presentation</x:v>
      </x:c>
      <x:c r="E81" s="6" t="n">
        <x:v>980</x:v>
      </x:c>
      <x:c r="F81" s="2" t="str">
        <x:v>PortalHumanoidV1</x:v>
      </x:c>
      <x:c r="G81" s="4" t="str">
        <x:v>Idle, Walk, Attack, Hurt</x:v>
      </x:c>
      <x:c r="H81" s="2" t="str">
        <x:v>Validated</x:v>
      </x:c>
      <x:c r="I81" s="2" t="str">
        <x:v>Pending</x:v>
      </x:c>
      <x:c r="J81" s="2" t="str">
        <x:v>Binding pending</x:v>
      </x:c>
      <x:c r="K81" s="2" t="str">
        <x:v>portal-buildout/cast/Mob_Portal_RoyalScribe.glb</x:v>
      </x:c>
      <x:c r="L81" s="2" t="str">
        <x:v>112bb1c4b927563c453085922b3e1a2bb589eac2a360822f6501b573f4741f57</x:v>
      </x:c>
      <x:c r="M81" s="17" t="n">
        <x:v>1</x:v>
      </x:c>
      <x:c r="N81" s="2" t="str">
        <x:v>n.a.</x:v>
      </x:c>
    </x:row>
    <x:row r="82" ht="38" customHeight="1">
      <x:c r="A82" s="2" t="str">
        <x:v>Mob_Portal_FortuneTeller</x:v>
      </x:c>
      <x:c r="B82" s="2" t="str">
        <x:v>Character</x:v>
      </x:c>
      <x:c r="C82" s="2" t="str">
        <x:v>Portal Realm</x:v>
      </x:c>
      <x:c r="D82" s="4" t="str">
        <x:v>Clues and risk guidance</x:v>
      </x:c>
      <x:c r="E82" s="6" t="n">
        <x:v>1092</x:v>
      </x:c>
      <x:c r="F82" s="2" t="str">
        <x:v>PortalHumanoidV1</x:v>
      </x:c>
      <x:c r="G82" s="4" t="str">
        <x:v>Idle, Walk, Attack, Hurt</x:v>
      </x:c>
      <x:c r="H82" s="2" t="str">
        <x:v>Validated</x:v>
      </x:c>
      <x:c r="I82" s="2" t="str">
        <x:v>Pending</x:v>
      </x:c>
      <x:c r="J82" s="2" t="str">
        <x:v>Binding pending</x:v>
      </x:c>
      <x:c r="K82" s="2" t="str">
        <x:v>portal-buildout/cast/Mob_Portal_FortuneTeller.glb</x:v>
      </x:c>
      <x:c r="L82" s="2" t="str">
        <x:v>7f769805024eba59d61db09016037d1d7db9773a9c28103fa9c02dc054912d72</x:v>
      </x:c>
      <x:c r="M82" s="17" t="n">
        <x:v>1</x:v>
      </x:c>
      <x:c r="N82" s="2" t="str">
        <x:v>n.a.</x:v>
      </x:c>
    </x:row>
    <x:row r="83" ht="38" customHeight="1">
      <x:c r="A83" s="2" t="str">
        <x:v>Mob_Portal_Keymaker</x:v>
      </x:c>
      <x:c r="B83" s="2" t="str">
        <x:v>Character</x:v>
      </x:c>
      <x:c r="C83" s="2" t="str">
        <x:v>Portal Realm</x:v>
      </x:c>
      <x:c r="D83" s="4" t="str">
        <x:v>Lock and key guidance</x:v>
      </x:c>
      <x:c r="E83" s="6" t="n">
        <x:v>1172</x:v>
      </x:c>
      <x:c r="F83" s="2" t="str">
        <x:v>PortalHumanoidV1</x:v>
      </x:c>
      <x:c r="G83" s="4" t="str">
        <x:v>Idle, Walk, Attack, Hurt</x:v>
      </x:c>
      <x:c r="H83" s="2" t="str">
        <x:v>Validated</x:v>
      </x:c>
      <x:c r="I83" s="2" t="str">
        <x:v>Pending</x:v>
      </x:c>
      <x:c r="J83" s="2" t="str">
        <x:v>Binding pending</x:v>
      </x:c>
      <x:c r="K83" s="2" t="str">
        <x:v>portal-buildout/cast/Mob_Portal_Keymaker.glb</x:v>
      </x:c>
      <x:c r="L83" s="2" t="str">
        <x:v>ad510338c749152e0a53e156efa03d3c8d610f493f0b146b5616aaca3a888922</x:v>
      </x:c>
      <x:c r="M83" s="17" t="n">
        <x:v>1</x:v>
      </x:c>
      <x:c r="N83" s="2" t="str">
        <x:v>n.a.</x:v>
      </x:c>
    </x:row>
    <x:row r="84" ht="38" customHeight="1">
      <x:c r="A84" s="2" t="str">
        <x:v>Mob_Portal_WellChild</x:v>
      </x:c>
      <x:c r="B84" s="2" t="str">
        <x:v>Character</x:v>
      </x:c>
      <x:c r="C84" s="2" t="str">
        <x:v>Portal Realm</x:v>
      </x:c>
      <x:c r="D84" s="4" t="str">
        <x:v>Water and town hints</x:v>
      </x:c>
      <x:c r="E84" s="6" t="n">
        <x:v>972</x:v>
      </x:c>
      <x:c r="F84" s="2" t="str">
        <x:v>PortalHumanoidV1</x:v>
      </x:c>
      <x:c r="G84" s="4" t="str">
        <x:v>Idle, Walk, Attack, Hurt</x:v>
      </x:c>
      <x:c r="H84" s="2" t="str">
        <x:v>Validated</x:v>
      </x:c>
      <x:c r="I84" s="2" t="str">
        <x:v>Pending</x:v>
      </x:c>
      <x:c r="J84" s="2" t="str">
        <x:v>Binding pending</x:v>
      </x:c>
      <x:c r="K84" s="2" t="str">
        <x:v>portal-buildout/cast/Mob_Portal_WellChild.glb</x:v>
      </x:c>
      <x:c r="L84" s="2" t="str">
        <x:v>36ac6949e330d5077f416078b8918e00ac419b7e33a8697c6ebab2b062919ece</x:v>
      </x:c>
      <x:c r="M84" s="17" t="n">
        <x:v>1</x:v>
      </x:c>
      <x:c r="N84" s="2" t="str">
        <x:v>n.a.</x:v>
      </x:c>
    </x:row>
    <x:row r="85" ht="38" customHeight="1">
      <x:c r="A85" s="2" t="str">
        <x:v>Mob_Portal_NightWatch</x:v>
      </x:c>
      <x:c r="B85" s="2" t="str">
        <x:v>Character</x:v>
      </x:c>
      <x:c r="C85" s="2" t="str">
        <x:v>Portal Realm</x:v>
      </x:c>
      <x:c r="D85" s="4" t="str">
        <x:v>Town safety and travel clues</x:v>
      </x:c>
      <x:c r="E85" s="6" t="n">
        <x:v>1262</x:v>
      </x:c>
      <x:c r="F85" s="2" t="str">
        <x:v>PortalHumanoidV1</x:v>
      </x:c>
      <x:c r="G85" s="4" t="str">
        <x:v>Idle, Walk, Attack, Hurt</x:v>
      </x:c>
      <x:c r="H85" s="2" t="str">
        <x:v>Validated</x:v>
      </x:c>
      <x:c r="I85" s="2" t="str">
        <x:v>Pending</x:v>
      </x:c>
      <x:c r="J85" s="2" t="str">
        <x:v>Binding pending</x:v>
      </x:c>
      <x:c r="K85" s="2" t="str">
        <x:v>portal-buildout/cast/Mob_Portal_NightWatch.glb</x:v>
      </x:c>
      <x:c r="L85" s="2" t="str">
        <x:v>89a3165747246cc1491857b72a73835706dfd026f2123abefdd0a01d93a610e7</x:v>
      </x:c>
      <x:c r="M85" s="17" t="n">
        <x:v>1</x:v>
      </x:c>
      <x:c r="N85" s="2" t="str">
        <x:v>n.a.</x:v>
      </x:c>
    </x:row>
    <x:row r="86" ht="38" customHeight="1">
      <x:c r="A86" s="2" t="str">
        <x:v>Mob_Portal_RetiredHero</x:v>
      </x:c>
      <x:c r="B86" s="2" t="str">
        <x:v>Character</x:v>
      </x:c>
      <x:c r="C86" s="2" t="str">
        <x:v>Portal Realm</x:v>
      </x:c>
      <x:c r="D86" s="4" t="str">
        <x:v>Optional veteran quest</x:v>
      </x:c>
      <x:c r="E86" s="6" t="n">
        <x:v>1332</x:v>
      </x:c>
      <x:c r="F86" s="2" t="str">
        <x:v>PortalHumanoidV1</x:v>
      </x:c>
      <x:c r="G86" s="4" t="str">
        <x:v>Idle, Walk, Attack, Hurt</x:v>
      </x:c>
      <x:c r="H86" s="2" t="str">
        <x:v>Validated</x:v>
      </x:c>
      <x:c r="I86" s="2" t="str">
        <x:v>Pending</x:v>
      </x:c>
      <x:c r="J86" s="2" t="str">
        <x:v>Binding pending</x:v>
      </x:c>
      <x:c r="K86" s="2" t="str">
        <x:v>portal-buildout/cast/Mob_Portal_RetiredHero.glb</x:v>
      </x:c>
      <x:c r="L86" s="2" t="str">
        <x:v>72abe560c9f0ce616d1a97d7587f2e5412ddca2c579a2a92e346fd99d945e9c7</x:v>
      </x:c>
      <x:c r="M86" s="17" t="n">
        <x:v>1</x:v>
      </x:c>
      <x:c r="N86" s="2" t="str">
        <x:v>n.a.</x:v>
      </x:c>
    </x:row>
    <x:row r="87" ht="38" customHeight="1">
      <x:c r="A87" s="2" t="str">
        <x:v>Mob_Portal_FerryWoman</x:v>
      </x:c>
      <x:c r="B87" s="2" t="str">
        <x:v>Character</x:v>
      </x:c>
      <x:c r="C87" s="2" t="str">
        <x:v>Portal Realm</x:v>
      </x:c>
      <x:c r="D87" s="4" t="str">
        <x:v>Water crossing role</x:v>
      </x:c>
      <x:c r="E87" s="6" t="n">
        <x:v>972</x:v>
      </x:c>
      <x:c r="F87" s="2" t="str">
        <x:v>PortalHumanoidV1</x:v>
      </x:c>
      <x:c r="G87" s="4" t="str">
        <x:v>Idle, Walk, Attack, Hurt</x:v>
      </x:c>
      <x:c r="H87" s="2" t="str">
        <x:v>Validated</x:v>
      </x:c>
      <x:c r="I87" s="2" t="str">
        <x:v>Pending</x:v>
      </x:c>
      <x:c r="J87" s="2" t="str">
        <x:v>Binding pending</x:v>
      </x:c>
      <x:c r="K87" s="2" t="str">
        <x:v>portal-buildout/cast/Mob_Portal_FerryWoman.glb</x:v>
      </x:c>
      <x:c r="L87" s="2" t="str">
        <x:v>ca75a913d72be3348c5b862c887c55003be7a39155835394b3121952c359717b</x:v>
      </x:c>
      <x:c r="M87" s="17" t="n">
        <x:v>1</x:v>
      </x:c>
      <x:c r="N87" s="2" t="str">
        <x:v>n.a.</x:v>
      </x:c>
    </x:row>
    <x:row r="88" ht="38" customHeight="1">
      <x:c r="A88" s="2" t="str">
        <x:v>Mob_Portal_TavernBard</x:v>
      </x:c>
      <x:c r="B88" s="2" t="str">
        <x:v>Character</x:v>
      </x:c>
      <x:c r="C88" s="2" t="str">
        <x:v>Portal Realm</x:v>
      </x:c>
      <x:c r="D88" s="4" t="str">
        <x:v>Touring jukebox cue role</x:v>
      </x:c>
      <x:c r="E88" s="6" t="n">
        <x:v>1400</x:v>
      </x:c>
      <x:c r="F88" s="2" t="str">
        <x:v>PortalHumanoidV1</x:v>
      </x:c>
      <x:c r="G88" s="4" t="str">
        <x:v>Idle, Walk, Attack, Hurt</x:v>
      </x:c>
      <x:c r="H88" s="2" t="str">
        <x:v>Validated</x:v>
      </x:c>
      <x:c r="I88" s="2" t="str">
        <x:v>Pending</x:v>
      </x:c>
      <x:c r="J88" s="2" t="str">
        <x:v>Binding pending</x:v>
      </x:c>
      <x:c r="K88" s="2" t="str">
        <x:v>portal-buildout/cast/Mob_Portal_TavernBard.glb</x:v>
      </x:c>
      <x:c r="L88" s="2" t="str">
        <x:v>1555f0edaad11e0552c17e4fdf182bf7a983701dff03fcb54082c027ec13099b</x:v>
      </x:c>
      <x:c r="M88" s="17" t="n">
        <x:v>1</x:v>
      </x:c>
      <x:c r="N88" s="2" t="str">
        <x:v>n.a.</x:v>
      </x:c>
    </x:row>
    <x:row r="89" ht="38" customHeight="1">
      <x:c r="A89" s="2" t="str">
        <x:v>Mob_Portal_BLIGHT_SLIME_T1</x:v>
      </x:c>
      <x:c r="B89" s="2" t="str">
        <x:v>Character</x:v>
      </x:c>
      <x:c r="C89" s="2" t="str">
        <x:v>Portal Realm</x:v>
      </x:c>
      <x:c r="D89" s="4" t="str">
        <x:v>Encounter visual: BLIGHT SLIME</x:v>
      </x:c>
      <x:c r="E89" s="6" t="n">
        <x:v>308</x:v>
      </x:c>
      <x:c r="F89" s="2" t="str">
        <x:v>PortalCreatureV1</x:v>
      </x:c>
      <x:c r="G89" s="4" t="str">
        <x:v>Idle, Walk, Attack, Hurt</x:v>
      </x:c>
      <x:c r="H89" s="2" t="str">
        <x:v>Validated</x:v>
      </x:c>
      <x:c r="I89" s="2" t="str">
        <x:v>Pending</x:v>
      </x:c>
      <x:c r="J89" s="2" t="str">
        <x:v>Binding pending</x:v>
      </x:c>
      <x:c r="K89" s="2" t="str">
        <x:v>portal-buildout/monsters/Mob_Portal_BLIGHT_SLIME_T1.glb</x:v>
      </x:c>
      <x:c r="L89" s="2" t="str">
        <x:v>59eb785d4242a26466414deeaaeca5da4a9c14bf54dd1d95358b7261a411a5ec</x:v>
      </x:c>
      <x:c r="M89" s="17" t="n">
        <x:v>1</x:v>
      </x:c>
      <x:c r="N89" s="2" t="str">
        <x:v>BLIGHT_SLIME</x:v>
      </x:c>
    </x:row>
    <x:row r="90" ht="38" customHeight="1">
      <x:c r="A90" s="2" t="str">
        <x:v>Mob_Portal_BLIGHT_SLIME_T2</x:v>
      </x:c>
      <x:c r="B90" s="2" t="str">
        <x:v>Character</x:v>
      </x:c>
      <x:c r="C90" s="2" t="str">
        <x:v>Portal Realm</x:v>
      </x:c>
      <x:c r="D90" s="4" t="str">
        <x:v>Encounter visual: BLIGHT SLIME</x:v>
      </x:c>
      <x:c r="E90" s="6" t="n">
        <x:v>308</x:v>
      </x:c>
      <x:c r="F90" s="2" t="str">
        <x:v>PortalCreatureV1</x:v>
      </x:c>
      <x:c r="G90" s="4" t="str">
        <x:v>Idle, Walk, Attack, Hurt</x:v>
      </x:c>
      <x:c r="H90" s="2" t="str">
        <x:v>Validated</x:v>
      </x:c>
      <x:c r="I90" s="2" t="str">
        <x:v>Pending</x:v>
      </x:c>
      <x:c r="J90" s="2" t="str">
        <x:v>Binding pending</x:v>
      </x:c>
      <x:c r="K90" s="2" t="str">
        <x:v>portal-buildout/monsters/Mob_Portal_BLIGHT_SLIME_T2.glb</x:v>
      </x:c>
      <x:c r="L90" s="2" t="str">
        <x:v>17b1f68df17980418a83bd3d5d0416263a8b8e74ca52e9c68f15ea51849072be</x:v>
      </x:c>
      <x:c r="M90" s="17" t="n">
        <x:v>0</x:v>
      </x:c>
      <x:c r="N90" s="2" t="str">
        <x:v>BLIGHT_SLIME</x:v>
      </x:c>
    </x:row>
    <x:row r="91" ht="38" customHeight="1">
      <x:c r="A91" s="2" t="str">
        <x:v>Mob_Portal_BLIGHT_SLIME_T3</x:v>
      </x:c>
      <x:c r="B91" s="2" t="str">
        <x:v>Character</x:v>
      </x:c>
      <x:c r="C91" s="2" t="str">
        <x:v>Portal Realm</x:v>
      </x:c>
      <x:c r="D91" s="4" t="str">
        <x:v>Encounter visual: BLIGHT SLIME</x:v>
      </x:c>
      <x:c r="E91" s="6" t="n">
        <x:v>308</x:v>
      </x:c>
      <x:c r="F91" s="2" t="str">
        <x:v>PortalCreatureV1</x:v>
      </x:c>
      <x:c r="G91" s="4" t="str">
        <x:v>Idle, Walk, Attack, Hurt</x:v>
      </x:c>
      <x:c r="H91" s="2" t="str">
        <x:v>Validated</x:v>
      </x:c>
      <x:c r="I91" s="2" t="str">
        <x:v>Pending</x:v>
      </x:c>
      <x:c r="J91" s="2" t="str">
        <x:v>Binding pending</x:v>
      </x:c>
      <x:c r="K91" s="2" t="str">
        <x:v>portal-buildout/monsters/Mob_Portal_BLIGHT_SLIME_T3.glb</x:v>
      </x:c>
      <x:c r="L91" s="2" t="str">
        <x:v>f5f62a1175df7d374a00cc14e64dd42423ca1359e56048ed846e0269db402b3d</x:v>
      </x:c>
      <x:c r="M91" s="17" t="n">
        <x:v>0</x:v>
      </x:c>
      <x:c r="N91" s="2" t="str">
        <x:v>BLIGHT_SLIME</x:v>
      </x:c>
    </x:row>
    <x:row r="92" ht="38" customHeight="1">
      <x:c r="A92" s="2" t="str">
        <x:v>Mob_Portal_BOG_SLIME_T1</x:v>
      </x:c>
      <x:c r="B92" s="2" t="str">
        <x:v>Character</x:v>
      </x:c>
      <x:c r="C92" s="2" t="str">
        <x:v>Portal Realm</x:v>
      </x:c>
      <x:c r="D92" s="4" t="str">
        <x:v>Encounter visual: BOG SLIME</x:v>
      </x:c>
      <x:c r="E92" s="6" t="n">
        <x:v>308</x:v>
      </x:c>
      <x:c r="F92" s="2" t="str">
        <x:v>PortalCreatureV1</x:v>
      </x:c>
      <x:c r="G92" s="4" t="str">
        <x:v>Idle, Walk, Attack, Hurt</x:v>
      </x:c>
      <x:c r="H92" s="2" t="str">
        <x:v>Validated</x:v>
      </x:c>
      <x:c r="I92" s="2" t="str">
        <x:v>Pending</x:v>
      </x:c>
      <x:c r="J92" s="2" t="str">
        <x:v>Binding pending</x:v>
      </x:c>
      <x:c r="K92" s="2" t="str">
        <x:v>portal-buildout/monsters/Mob_Portal_BOG_SLIME_T1.glb</x:v>
      </x:c>
      <x:c r="L92" s="2" t="str">
        <x:v>d457a4812fc18e2177ad53bb32946c02ee987cf7360423c767e42a75244f3f94</x:v>
      </x:c>
      <x:c r="M92" s="17" t="n">
        <x:v>1</x:v>
      </x:c>
      <x:c r="N92" s="2" t="str">
        <x:v>BOG_SLIME</x:v>
      </x:c>
    </x:row>
    <x:row r="93" ht="38" customHeight="1">
      <x:c r="A93" s="2" t="str">
        <x:v>Mob_Portal_BOG_SLIME_T2</x:v>
      </x:c>
      <x:c r="B93" s="2" t="str">
        <x:v>Character</x:v>
      </x:c>
      <x:c r="C93" s="2" t="str">
        <x:v>Portal Realm</x:v>
      </x:c>
      <x:c r="D93" s="4" t="str">
        <x:v>Encounter visual: BOG SLIME</x:v>
      </x:c>
      <x:c r="E93" s="6" t="n">
        <x:v>308</x:v>
      </x:c>
      <x:c r="F93" s="2" t="str">
        <x:v>PortalCreatureV1</x:v>
      </x:c>
      <x:c r="G93" s="4" t="str">
        <x:v>Idle, Walk, Attack, Hurt</x:v>
      </x:c>
      <x:c r="H93" s="2" t="str">
        <x:v>Validated</x:v>
      </x:c>
      <x:c r="I93" s="2" t="str">
        <x:v>Pending</x:v>
      </x:c>
      <x:c r="J93" s="2" t="str">
        <x:v>Binding pending</x:v>
      </x:c>
      <x:c r="K93" s="2" t="str">
        <x:v>portal-buildout/monsters/Mob_Portal_BOG_SLIME_T2.glb</x:v>
      </x:c>
      <x:c r="L93" s="2" t="str">
        <x:v>0b4723b0feb114634440bfa9da65d906486f8fc670dee592d5ddcdc6a3edd5fb</x:v>
      </x:c>
      <x:c r="M93" s="17" t="n">
        <x:v>0</x:v>
      </x:c>
      <x:c r="N93" s="2" t="str">
        <x:v>BOG_SLIME</x:v>
      </x:c>
    </x:row>
    <x:row r="94" ht="38" customHeight="1">
      <x:c r="A94" s="2" t="str">
        <x:v>Mob_Portal_BOG_SLIME_T3</x:v>
      </x:c>
      <x:c r="B94" s="2" t="str">
        <x:v>Character</x:v>
      </x:c>
      <x:c r="C94" s="2" t="str">
        <x:v>Portal Realm</x:v>
      </x:c>
      <x:c r="D94" s="4" t="str">
        <x:v>Encounter visual: BOG SLIME</x:v>
      </x:c>
      <x:c r="E94" s="6" t="n">
        <x:v>308</x:v>
      </x:c>
      <x:c r="F94" s="2" t="str">
        <x:v>PortalCreatureV1</x:v>
      </x:c>
      <x:c r="G94" s="4" t="str">
        <x:v>Idle, Walk, Attack, Hurt</x:v>
      </x:c>
      <x:c r="H94" s="2" t="str">
        <x:v>Validated</x:v>
      </x:c>
      <x:c r="I94" s="2" t="str">
        <x:v>Pending</x:v>
      </x:c>
      <x:c r="J94" s="2" t="str">
        <x:v>Binding pending</x:v>
      </x:c>
      <x:c r="K94" s="2" t="str">
        <x:v>portal-buildout/monsters/Mob_Portal_BOG_SLIME_T3.glb</x:v>
      </x:c>
      <x:c r="L94" s="2" t="str">
        <x:v>ce394c7dd484d6fcd1a095c4f1720b9778082f334dff24e7077ccd96dc234768</x:v>
      </x:c>
      <x:c r="M94" s="17" t="n">
        <x:v>0</x:v>
      </x:c>
      <x:c r="N94" s="2" t="str">
        <x:v>BOG_SLIME</x:v>
      </x:c>
    </x:row>
    <x:row r="95" ht="38" customHeight="1">
      <x:c r="A95" s="2" t="str">
        <x:v>Mob_Portal_LUCKY_DRIP_T1</x:v>
      </x:c>
      <x:c r="B95" s="2" t="str">
        <x:v>Character</x:v>
      </x:c>
      <x:c r="C95" s="2" t="str">
        <x:v>Portal Realm</x:v>
      </x:c>
      <x:c r="D95" s="4" t="str">
        <x:v>Encounter visual: LUCKY DRIP</x:v>
      </x:c>
      <x:c r="E95" s="6" t="n">
        <x:v>308</x:v>
      </x:c>
      <x:c r="F95" s="2" t="str">
        <x:v>PortalCreatureV1</x:v>
      </x:c>
      <x:c r="G95" s="4" t="str">
        <x:v>Idle, Walk, Attack, Hurt</x:v>
      </x:c>
      <x:c r="H95" s="2" t="str">
        <x:v>Validated</x:v>
      </x:c>
      <x:c r="I95" s="2" t="str">
        <x:v>Pending</x:v>
      </x:c>
      <x:c r="J95" s="2" t="str">
        <x:v>Binding pending</x:v>
      </x:c>
      <x:c r="K95" s="2" t="str">
        <x:v>portal-buildout/monsters/Mob_Portal_LUCKY_DRIP_T1.glb</x:v>
      </x:c>
      <x:c r="L95" s="2" t="str">
        <x:v>1a80948595f4f7f9d65e293fd48a24236f44bab57b62fabc068eac95ae93a959</x:v>
      </x:c>
      <x:c r="M95" s="17" t="n">
        <x:v>1</x:v>
      </x:c>
      <x:c r="N95" s="2" t="str">
        <x:v>LUCKY_DRIP</x:v>
      </x:c>
    </x:row>
    <x:row r="96" ht="38" customHeight="1">
      <x:c r="A96" s="2" t="str">
        <x:v>Mob_Portal_LUCKY_DRIP_T2</x:v>
      </x:c>
      <x:c r="B96" s="2" t="str">
        <x:v>Character</x:v>
      </x:c>
      <x:c r="C96" s="2" t="str">
        <x:v>Portal Realm</x:v>
      </x:c>
      <x:c r="D96" s="4" t="str">
        <x:v>Encounter visual: LUCKY DRIP</x:v>
      </x:c>
      <x:c r="E96" s="6" t="n">
        <x:v>308</x:v>
      </x:c>
      <x:c r="F96" s="2" t="str">
        <x:v>PortalCreatureV1</x:v>
      </x:c>
      <x:c r="G96" s="4" t="str">
        <x:v>Idle, Walk, Attack, Hurt</x:v>
      </x:c>
      <x:c r="H96" s="2" t="str">
        <x:v>Validated</x:v>
      </x:c>
      <x:c r="I96" s="2" t="str">
        <x:v>Pending</x:v>
      </x:c>
      <x:c r="J96" s="2" t="str">
        <x:v>Binding pending</x:v>
      </x:c>
      <x:c r="K96" s="2" t="str">
        <x:v>portal-buildout/monsters/Mob_Portal_LUCKY_DRIP_T2.glb</x:v>
      </x:c>
      <x:c r="L96" s="2" t="str">
        <x:v>63f3b208d20467378afe106075e3046b6c352ad24e8192f003d63f64b35f081b</x:v>
      </x:c>
      <x:c r="M96" s="17" t="n">
        <x:v>0</x:v>
      </x:c>
      <x:c r="N96" s="2" t="str">
        <x:v>LUCKY_DRIP</x:v>
      </x:c>
    </x:row>
    <x:row r="97" ht="38" customHeight="1">
      <x:c r="A97" s="2" t="str">
        <x:v>Mob_Portal_LUCKY_DRIP_T3</x:v>
      </x:c>
      <x:c r="B97" s="2" t="str">
        <x:v>Character</x:v>
      </x:c>
      <x:c r="C97" s="2" t="str">
        <x:v>Portal Realm</x:v>
      </x:c>
      <x:c r="D97" s="4" t="str">
        <x:v>Encounter visual: LUCKY DRIP</x:v>
      </x:c>
      <x:c r="E97" s="6" t="n">
        <x:v>308</x:v>
      </x:c>
      <x:c r="F97" s="2" t="str">
        <x:v>PortalCreatureV1</x:v>
      </x:c>
      <x:c r="G97" s="4" t="str">
        <x:v>Idle, Walk, Attack, Hurt</x:v>
      </x:c>
      <x:c r="H97" s="2" t="str">
        <x:v>Validated</x:v>
      </x:c>
      <x:c r="I97" s="2" t="str">
        <x:v>Pending</x:v>
      </x:c>
      <x:c r="J97" s="2" t="str">
        <x:v>Binding pending</x:v>
      </x:c>
      <x:c r="K97" s="2" t="str">
        <x:v>portal-buildout/monsters/Mob_Portal_LUCKY_DRIP_T3.glb</x:v>
      </x:c>
      <x:c r="L97" s="2" t="str">
        <x:v>92174cad626048318b940d7169c20fde1fa147e4209a864f1464a7b92a10c45a</x:v>
      </x:c>
      <x:c r="M97" s="17" t="n">
        <x:v>0</x:v>
      </x:c>
      <x:c r="N97" s="2" t="str">
        <x:v>LUCKY_DRIP</x:v>
      </x:c>
    </x:row>
    <x:row r="98" ht="38" customHeight="1">
      <x:c r="A98" s="2" t="str">
        <x:v>Mob_Portal_DUST_WISP_T1</x:v>
      </x:c>
      <x:c r="B98" s="2" t="str">
        <x:v>Character</x:v>
      </x:c>
      <x:c r="C98" s="2" t="str">
        <x:v>Portal Realm</x:v>
      </x:c>
      <x:c r="D98" s="4" t="str">
        <x:v>Encounter visual: DUST WISP</x:v>
      </x:c>
      <x:c r="E98" s="6" t="n">
        <x:v>270</x:v>
      </x:c>
      <x:c r="F98" s="2" t="str">
        <x:v>PortalCreatureV1</x:v>
      </x:c>
      <x:c r="G98" s="4" t="str">
        <x:v>Idle, Walk, Attack, Hurt</x:v>
      </x:c>
      <x:c r="H98" s="2" t="str">
        <x:v>Validated</x:v>
      </x:c>
      <x:c r="I98" s="2" t="str">
        <x:v>Pending</x:v>
      </x:c>
      <x:c r="J98" s="2" t="str">
        <x:v>Binding pending</x:v>
      </x:c>
      <x:c r="K98" s="2" t="str">
        <x:v>portal-buildout/monsters/Mob_Portal_DUST_WISP_T1.glb</x:v>
      </x:c>
      <x:c r="L98" s="2" t="str">
        <x:v>095e80bec8657a4cb1d113118913a311855aff778658ed3a4d50140a488bfb72</x:v>
      </x:c>
      <x:c r="M98" s="17" t="n">
        <x:v>1</x:v>
      </x:c>
      <x:c r="N98" s="2" t="str">
        <x:v>DUST_WISP</x:v>
      </x:c>
    </x:row>
    <x:row r="99" ht="38" customHeight="1">
      <x:c r="A99" s="2" t="str">
        <x:v>Mob_Portal_DUST_WISP_T2</x:v>
      </x:c>
      <x:c r="B99" s="2" t="str">
        <x:v>Character</x:v>
      </x:c>
      <x:c r="C99" s="2" t="str">
        <x:v>Portal Realm</x:v>
      </x:c>
      <x:c r="D99" s="4" t="str">
        <x:v>Encounter visual: DUST WISP</x:v>
      </x:c>
      <x:c r="E99" s="6" t="n">
        <x:v>270</x:v>
      </x:c>
      <x:c r="F99" s="2" t="str">
        <x:v>PortalCreatureV1</x:v>
      </x:c>
      <x:c r="G99" s="4" t="str">
        <x:v>Idle, Walk, Attack, Hurt</x:v>
      </x:c>
      <x:c r="H99" s="2" t="str">
        <x:v>Validated</x:v>
      </x:c>
      <x:c r="I99" s="2" t="str">
        <x:v>Pending</x:v>
      </x:c>
      <x:c r="J99" s="2" t="str">
        <x:v>Binding pending</x:v>
      </x:c>
      <x:c r="K99" s="2" t="str">
        <x:v>portal-buildout/monsters/Mob_Portal_DUST_WISP_T2.glb</x:v>
      </x:c>
      <x:c r="L99" s="2" t="str">
        <x:v>bcb7d0b015f4d033e72815b19810459196ceee7a96fe8652babb536e3c6a90ee</x:v>
      </x:c>
      <x:c r="M99" s="17" t="n">
        <x:v>0</x:v>
      </x:c>
      <x:c r="N99" s="2" t="str">
        <x:v>DUST_WISP</x:v>
      </x:c>
    </x:row>
    <x:row r="100" ht="38" customHeight="1">
      <x:c r="A100" s="2" t="str">
        <x:v>Mob_Portal_DUST_WISP_T3</x:v>
      </x:c>
      <x:c r="B100" s="2" t="str">
        <x:v>Character</x:v>
      </x:c>
      <x:c r="C100" s="2" t="str">
        <x:v>Portal Realm</x:v>
      </x:c>
      <x:c r="D100" s="4" t="str">
        <x:v>Encounter visual: DUST WISP</x:v>
      </x:c>
      <x:c r="E100" s="6" t="n">
        <x:v>270</x:v>
      </x:c>
      <x:c r="F100" s="2" t="str">
        <x:v>PortalCreatureV1</x:v>
      </x:c>
      <x:c r="G100" s="4" t="str">
        <x:v>Idle, Walk, Attack, Hurt</x:v>
      </x:c>
      <x:c r="H100" s="2" t="str">
        <x:v>Validated</x:v>
      </x:c>
      <x:c r="I100" s="2" t="str">
        <x:v>Pending</x:v>
      </x:c>
      <x:c r="J100" s="2" t="str">
        <x:v>Binding pending</x:v>
      </x:c>
      <x:c r="K100" s="2" t="str">
        <x:v>portal-buildout/monsters/Mob_Portal_DUST_WISP_T3.glb</x:v>
      </x:c>
      <x:c r="L100" s="2" t="str">
        <x:v>aeaaac63285f2f8265a2c605a4a56b33bb4a6a85991fb10fea862329724892d2</x:v>
      </x:c>
      <x:c r="M100" s="17" t="n">
        <x:v>0</x:v>
      </x:c>
      <x:c r="N100" s="2" t="str">
        <x:v>DUST_WISP</x:v>
      </x:c>
    </x:row>
    <x:row r="101" ht="38" customHeight="1">
      <x:c r="A101" s="2" t="str">
        <x:v>Mob_Portal_EMBER_WISP_T1</x:v>
      </x:c>
      <x:c r="B101" s="2" t="str">
        <x:v>Character</x:v>
      </x:c>
      <x:c r="C101" s="2" t="str">
        <x:v>Portal Realm</x:v>
      </x:c>
      <x:c r="D101" s="4" t="str">
        <x:v>Encounter visual: EMBER WISP</x:v>
      </x:c>
      <x:c r="E101" s="6" t="n">
        <x:v>270</x:v>
      </x:c>
      <x:c r="F101" s="2" t="str">
        <x:v>PortalCreatureV1</x:v>
      </x:c>
      <x:c r="G101" s="4" t="str">
        <x:v>Idle, Walk, Attack, Hurt</x:v>
      </x:c>
      <x:c r="H101" s="2" t="str">
        <x:v>Validated</x:v>
      </x:c>
      <x:c r="I101" s="2" t="str">
        <x:v>Pending</x:v>
      </x:c>
      <x:c r="J101" s="2" t="str">
        <x:v>Binding pending</x:v>
      </x:c>
      <x:c r="K101" s="2" t="str">
        <x:v>portal-buildout/monsters/Mob_Portal_EMBER_WISP_T1.glb</x:v>
      </x:c>
      <x:c r="L101" s="2" t="str">
        <x:v>58b04e21e556557e2df43c7c5a26ab1073b538bca4c362e8e61ad5dd0bd844d5</x:v>
      </x:c>
      <x:c r="M101" s="17" t="n">
        <x:v>1</x:v>
      </x:c>
      <x:c r="N101" s="2" t="str">
        <x:v>EMBER_WISP</x:v>
      </x:c>
    </x:row>
    <x:row r="102" ht="38" customHeight="1">
      <x:c r="A102" s="2" t="str">
        <x:v>Mob_Portal_EMBER_WISP_T2</x:v>
      </x:c>
      <x:c r="B102" s="2" t="str">
        <x:v>Character</x:v>
      </x:c>
      <x:c r="C102" s="2" t="str">
        <x:v>Portal Realm</x:v>
      </x:c>
      <x:c r="D102" s="4" t="str">
        <x:v>Encounter visual: EMBER WISP</x:v>
      </x:c>
      <x:c r="E102" s="6" t="n">
        <x:v>270</x:v>
      </x:c>
      <x:c r="F102" s="2" t="str">
        <x:v>PortalCreatureV1</x:v>
      </x:c>
      <x:c r="G102" s="4" t="str">
        <x:v>Idle, Walk, Attack, Hurt</x:v>
      </x:c>
      <x:c r="H102" s="2" t="str">
        <x:v>Validated</x:v>
      </x:c>
      <x:c r="I102" s="2" t="str">
        <x:v>Pending</x:v>
      </x:c>
      <x:c r="J102" s="2" t="str">
        <x:v>Binding pending</x:v>
      </x:c>
      <x:c r="K102" s="2" t="str">
        <x:v>portal-buildout/monsters/Mob_Portal_EMBER_WISP_T2.glb</x:v>
      </x:c>
      <x:c r="L102" s="2" t="str">
        <x:v>8b474f4a2b3014047cc7029e2e68b340dba19807eccf4550b2ccd942bdff9811</x:v>
      </x:c>
      <x:c r="M102" s="17" t="n">
        <x:v>0</x:v>
      </x:c>
      <x:c r="N102" s="2" t="str">
        <x:v>EMBER_WISP</x:v>
      </x:c>
    </x:row>
    <x:row r="103" ht="38" customHeight="1">
      <x:c r="A103" s="2" t="str">
        <x:v>Mob_Portal_EMBER_WISP_T3</x:v>
      </x:c>
      <x:c r="B103" s="2" t="str">
        <x:v>Character</x:v>
      </x:c>
      <x:c r="C103" s="2" t="str">
        <x:v>Portal Realm</x:v>
      </x:c>
      <x:c r="D103" s="4" t="str">
        <x:v>Encounter visual: EMBER WISP</x:v>
      </x:c>
      <x:c r="E103" s="6" t="n">
        <x:v>270</x:v>
      </x:c>
      <x:c r="F103" s="2" t="str">
        <x:v>PortalCreatureV1</x:v>
      </x:c>
      <x:c r="G103" s="4" t="str">
        <x:v>Idle, Walk, Attack, Hurt</x:v>
      </x:c>
      <x:c r="H103" s="2" t="str">
        <x:v>Validated</x:v>
      </x:c>
      <x:c r="I103" s="2" t="str">
        <x:v>Pending</x:v>
      </x:c>
      <x:c r="J103" s="2" t="str">
        <x:v>Binding pending</x:v>
      </x:c>
      <x:c r="K103" s="2" t="str">
        <x:v>portal-buildout/monsters/Mob_Portal_EMBER_WISP_T3.glb</x:v>
      </x:c>
      <x:c r="L103" s="2" t="str">
        <x:v>0d2c13899aa72d2034a7c7e23286c7f73f879a9de56e8d7e1c15dd95d9cea327</x:v>
      </x:c>
      <x:c r="M103" s="17" t="n">
        <x:v>0</x:v>
      </x:c>
      <x:c r="N103" s="2" t="str">
        <x:v>EMBER_WISP</x:v>
      </x:c>
    </x:row>
    <x:row r="104" ht="38" customHeight="1">
      <x:c r="A104" s="2" t="str">
        <x:v>Mob_Portal_SHARDBACK_T1</x:v>
      </x:c>
      <x:c r="B104" s="2" t="str">
        <x:v>Character</x:v>
      </x:c>
      <x:c r="C104" s="2" t="str">
        <x:v>Portal Realm</x:v>
      </x:c>
      <x:c r="D104" s="4" t="str">
        <x:v>Encounter visual: SHARDBACK</x:v>
      </x:c>
      <x:c r="E104" s="6" t="n">
        <x:v>382</x:v>
      </x:c>
      <x:c r="F104" s="2" t="str">
        <x:v>PortalCreatureV1</x:v>
      </x:c>
      <x:c r="G104" s="4" t="str">
        <x:v>Idle, Walk, Attack, Hurt</x:v>
      </x:c>
      <x:c r="H104" s="2" t="str">
        <x:v>Validated</x:v>
      </x:c>
      <x:c r="I104" s="2" t="str">
        <x:v>Pending</x:v>
      </x:c>
      <x:c r="J104" s="2" t="str">
        <x:v>Binding pending</x:v>
      </x:c>
      <x:c r="K104" s="2" t="str">
        <x:v>portal-buildout/monsters/Mob_Portal_SHARDBACK_T1.glb</x:v>
      </x:c>
      <x:c r="L104" s="2" t="str">
        <x:v>1529b3f8b8f8442617814338b0e5ee41467c7cb2fcd64234083042cdc9b4ca1d</x:v>
      </x:c>
      <x:c r="M104" s="17" t="n">
        <x:v>1</x:v>
      </x:c>
      <x:c r="N104" s="2" t="str">
        <x:v>SHARDBACK</x:v>
      </x:c>
    </x:row>
    <x:row r="105" ht="38" customHeight="1">
      <x:c r="A105" s="2" t="str">
        <x:v>Mob_Portal_SHARDBACK_T2</x:v>
      </x:c>
      <x:c r="B105" s="2" t="str">
        <x:v>Character</x:v>
      </x:c>
      <x:c r="C105" s="2" t="str">
        <x:v>Portal Realm</x:v>
      </x:c>
      <x:c r="D105" s="4" t="str">
        <x:v>Encounter visual: SHARDBACK</x:v>
      </x:c>
      <x:c r="E105" s="6" t="n">
        <x:v>382</x:v>
      </x:c>
      <x:c r="F105" s="2" t="str">
        <x:v>PortalCreatureV1</x:v>
      </x:c>
      <x:c r="G105" s="4" t="str">
        <x:v>Idle, Walk, Attack, Hurt</x:v>
      </x:c>
      <x:c r="H105" s="2" t="str">
        <x:v>Validated</x:v>
      </x:c>
      <x:c r="I105" s="2" t="str">
        <x:v>Pending</x:v>
      </x:c>
      <x:c r="J105" s="2" t="str">
        <x:v>Binding pending</x:v>
      </x:c>
      <x:c r="K105" s="2" t="str">
        <x:v>portal-buildout/monsters/Mob_Portal_SHARDBACK_T2.glb</x:v>
      </x:c>
      <x:c r="L105" s="2" t="str">
        <x:v>0917e8fca2661ce0c4f3ee890c8d6a03e6f1d6475b308c646d1e43b0a97eac07</x:v>
      </x:c>
      <x:c r="M105" s="17" t="n">
        <x:v>0</x:v>
      </x:c>
      <x:c r="N105" s="2" t="str">
        <x:v>SHARDBACK</x:v>
      </x:c>
    </x:row>
    <x:row r="106" ht="38" customHeight="1">
      <x:c r="A106" s="2" t="str">
        <x:v>Mob_Portal_SHARDBACK_T3</x:v>
      </x:c>
      <x:c r="B106" s="2" t="str">
        <x:v>Character</x:v>
      </x:c>
      <x:c r="C106" s="2" t="str">
        <x:v>Portal Realm</x:v>
      </x:c>
      <x:c r="D106" s="4" t="str">
        <x:v>Encounter visual: SHARDBACK</x:v>
      </x:c>
      <x:c r="E106" s="6" t="n">
        <x:v>382</x:v>
      </x:c>
      <x:c r="F106" s="2" t="str">
        <x:v>PortalCreatureV1</x:v>
      </x:c>
      <x:c r="G106" s="4" t="str">
        <x:v>Idle, Walk, Attack, Hurt</x:v>
      </x:c>
      <x:c r="H106" s="2" t="str">
        <x:v>Validated</x:v>
      </x:c>
      <x:c r="I106" s="2" t="str">
        <x:v>Pending</x:v>
      </x:c>
      <x:c r="J106" s="2" t="str">
        <x:v>Binding pending</x:v>
      </x:c>
      <x:c r="K106" s="2" t="str">
        <x:v>portal-buildout/monsters/Mob_Portal_SHARDBACK_T3.glb</x:v>
      </x:c>
      <x:c r="L106" s="2" t="str">
        <x:v>a44a32adf20cf777f1be4a3d6b6e4918f12719752ff0d75e550ac34e7a788e58</x:v>
      </x:c>
      <x:c r="M106" s="17" t="n">
        <x:v>0</x:v>
      </x:c>
      <x:c r="N106" s="2" t="str">
        <x:v>SHARDBACK</x:v>
      </x:c>
    </x:row>
    <x:row r="107" ht="38" customHeight="1">
      <x:c r="A107" s="2" t="str">
        <x:v>Mob_Portal_GLASSBACK_T1</x:v>
      </x:c>
      <x:c r="B107" s="2" t="str">
        <x:v>Character</x:v>
      </x:c>
      <x:c r="C107" s="2" t="str">
        <x:v>Portal Realm</x:v>
      </x:c>
      <x:c r="D107" s="4" t="str">
        <x:v>Encounter visual: GLASSBACK</x:v>
      </x:c>
      <x:c r="E107" s="6" t="n">
        <x:v>382</x:v>
      </x:c>
      <x:c r="F107" s="2" t="str">
        <x:v>PortalCreatureV1</x:v>
      </x:c>
      <x:c r="G107" s="4" t="str">
        <x:v>Idle, Walk, Attack, Hurt</x:v>
      </x:c>
      <x:c r="H107" s="2" t="str">
        <x:v>Validated</x:v>
      </x:c>
      <x:c r="I107" s="2" t="str">
        <x:v>Pending</x:v>
      </x:c>
      <x:c r="J107" s="2" t="str">
        <x:v>Binding pending</x:v>
      </x:c>
      <x:c r="K107" s="2" t="str">
        <x:v>portal-buildout/monsters/Mob_Portal_GLASSBACK_T1.glb</x:v>
      </x:c>
      <x:c r="L107" s="2" t="str">
        <x:v>978373d890e992a79f96fa97eba718b0c3ea053bb0895bd7944b2c9e1a1b651b</x:v>
      </x:c>
      <x:c r="M107" s="17" t="n">
        <x:v>1</x:v>
      </x:c>
      <x:c r="N107" s="2" t="str">
        <x:v>GLASSBACK</x:v>
      </x:c>
    </x:row>
    <x:row r="108" ht="38" customHeight="1">
      <x:c r="A108" s="2" t="str">
        <x:v>Mob_Portal_GLASSBACK_T2</x:v>
      </x:c>
      <x:c r="B108" s="2" t="str">
        <x:v>Character</x:v>
      </x:c>
      <x:c r="C108" s="2" t="str">
        <x:v>Portal Realm</x:v>
      </x:c>
      <x:c r="D108" s="4" t="str">
        <x:v>Encounter visual: GLASSBACK</x:v>
      </x:c>
      <x:c r="E108" s="6" t="n">
        <x:v>382</x:v>
      </x:c>
      <x:c r="F108" s="2" t="str">
        <x:v>PortalCreatureV1</x:v>
      </x:c>
      <x:c r="G108" s="4" t="str">
        <x:v>Idle, Walk, Attack, Hurt</x:v>
      </x:c>
      <x:c r="H108" s="2" t="str">
        <x:v>Validated</x:v>
      </x:c>
      <x:c r="I108" s="2" t="str">
        <x:v>Pending</x:v>
      </x:c>
      <x:c r="J108" s="2" t="str">
        <x:v>Binding pending</x:v>
      </x:c>
      <x:c r="K108" s="2" t="str">
        <x:v>portal-buildout/monsters/Mob_Portal_GLASSBACK_T2.glb</x:v>
      </x:c>
      <x:c r="L108" s="2" t="str">
        <x:v>86a96e62d8f1f1b941af2cedddf81b8f78d4291d545aa113c063db674345f54d</x:v>
      </x:c>
      <x:c r="M108" s="17" t="n">
        <x:v>0</x:v>
      </x:c>
      <x:c r="N108" s="2" t="str">
        <x:v>GLASSBACK</x:v>
      </x:c>
    </x:row>
    <x:row r="109" ht="38" customHeight="1">
      <x:c r="A109" s="2" t="str">
        <x:v>Mob_Portal_GLASSBACK_T3</x:v>
      </x:c>
      <x:c r="B109" s="2" t="str">
        <x:v>Character</x:v>
      </x:c>
      <x:c r="C109" s="2" t="str">
        <x:v>Portal Realm</x:v>
      </x:c>
      <x:c r="D109" s="4" t="str">
        <x:v>Encounter visual: GLASSBACK</x:v>
      </x:c>
      <x:c r="E109" s="6" t="n">
        <x:v>382</x:v>
      </x:c>
      <x:c r="F109" s="2" t="str">
        <x:v>PortalCreatureV1</x:v>
      </x:c>
      <x:c r="G109" s="4" t="str">
        <x:v>Idle, Walk, Attack, Hurt</x:v>
      </x:c>
      <x:c r="H109" s="2" t="str">
        <x:v>Validated</x:v>
      </x:c>
      <x:c r="I109" s="2" t="str">
        <x:v>Pending</x:v>
      </x:c>
      <x:c r="J109" s="2" t="str">
        <x:v>Binding pending</x:v>
      </x:c>
      <x:c r="K109" s="2" t="str">
        <x:v>portal-buildout/monsters/Mob_Portal_GLASSBACK_T3.glb</x:v>
      </x:c>
      <x:c r="L109" s="2" t="str">
        <x:v>338bec11a1fcfc05d6b6dee34f743ec56fa70602c5447207b8d6beb28f7f4e66</x:v>
      </x:c>
      <x:c r="M109" s="17" t="n">
        <x:v>0</x:v>
      </x:c>
      <x:c r="N109" s="2" t="str">
        <x:v>GLASSBACK</x:v>
      </x:c>
    </x:row>
    <x:row r="110" ht="38" customHeight="1">
      <x:c r="A110" s="2" t="str">
        <x:v>Mob_Portal_PUFFCAP_T1</x:v>
      </x:c>
      <x:c r="B110" s="2" t="str">
        <x:v>Character</x:v>
      </x:c>
      <x:c r="C110" s="2" t="str">
        <x:v>Portal Realm</x:v>
      </x:c>
      <x:c r="D110" s="4" t="str">
        <x:v>Encounter visual: PUFFCAP</x:v>
      </x:c>
      <x:c r="E110" s="6" t="n">
        <x:v>540</x:v>
      </x:c>
      <x:c r="F110" s="2" t="str">
        <x:v>PortalCreatureV1</x:v>
      </x:c>
      <x:c r="G110" s="4" t="str">
        <x:v>Idle, Walk, Attack, Hurt</x:v>
      </x:c>
      <x:c r="H110" s="2" t="str">
        <x:v>Validated</x:v>
      </x:c>
      <x:c r="I110" s="2" t="str">
        <x:v>Pending</x:v>
      </x:c>
      <x:c r="J110" s="2" t="str">
        <x:v>Binding pending</x:v>
      </x:c>
      <x:c r="K110" s="2" t="str">
        <x:v>portal-buildout/monsters/Mob_Portal_PUFFCAP_T1.glb</x:v>
      </x:c>
      <x:c r="L110" s="2" t="str">
        <x:v>7de7738ac2ba87ba90dad4dde5d090f2e453784d0b7f3440ab2f6303bb2903f3</x:v>
      </x:c>
      <x:c r="M110" s="17" t="n">
        <x:v>1</x:v>
      </x:c>
      <x:c r="N110" s="2" t="str">
        <x:v>PUFFCAP</x:v>
      </x:c>
    </x:row>
    <x:row r="111" ht="38" customHeight="1">
      <x:c r="A111" s="2" t="str">
        <x:v>Mob_Portal_PUFFCAP_T2</x:v>
      </x:c>
      <x:c r="B111" s="2" t="str">
        <x:v>Character</x:v>
      </x:c>
      <x:c r="C111" s="2" t="str">
        <x:v>Portal Realm</x:v>
      </x:c>
      <x:c r="D111" s="4" t="str">
        <x:v>Encounter visual: PUFFCAP</x:v>
      </x:c>
      <x:c r="E111" s="6" t="n">
        <x:v>540</x:v>
      </x:c>
      <x:c r="F111" s="2" t="str">
        <x:v>PortalCreatureV1</x:v>
      </x:c>
      <x:c r="G111" s="4" t="str">
        <x:v>Idle, Walk, Attack, Hurt</x:v>
      </x:c>
      <x:c r="H111" s="2" t="str">
        <x:v>Validated</x:v>
      </x:c>
      <x:c r="I111" s="2" t="str">
        <x:v>Pending</x:v>
      </x:c>
      <x:c r="J111" s="2" t="str">
        <x:v>Binding pending</x:v>
      </x:c>
      <x:c r="K111" s="2" t="str">
        <x:v>portal-buildout/monsters/Mob_Portal_PUFFCAP_T2.glb</x:v>
      </x:c>
      <x:c r="L111" s="2" t="str">
        <x:v>d0e3fbf65029bb309e4bf36c50c12e79d4f5d45f287c192c14146e9179944fa3</x:v>
      </x:c>
      <x:c r="M111" s="17" t="n">
        <x:v>0</x:v>
      </x:c>
      <x:c r="N111" s="2" t="str">
        <x:v>PUFFCAP</x:v>
      </x:c>
    </x:row>
    <x:row r="112" ht="38" customHeight="1">
      <x:c r="A112" s="2" t="str">
        <x:v>Mob_Portal_PUFFCAP_T3</x:v>
      </x:c>
      <x:c r="B112" s="2" t="str">
        <x:v>Character</x:v>
      </x:c>
      <x:c r="C112" s="2" t="str">
        <x:v>Portal Realm</x:v>
      </x:c>
      <x:c r="D112" s="4" t="str">
        <x:v>Encounter visual: PUFFCAP</x:v>
      </x:c>
      <x:c r="E112" s="6" t="n">
        <x:v>540</x:v>
      </x:c>
      <x:c r="F112" s="2" t="str">
        <x:v>PortalCreatureV1</x:v>
      </x:c>
      <x:c r="G112" s="4" t="str">
        <x:v>Idle, Walk, Attack, Hurt</x:v>
      </x:c>
      <x:c r="H112" s="2" t="str">
        <x:v>Validated</x:v>
      </x:c>
      <x:c r="I112" s="2" t="str">
        <x:v>Pending</x:v>
      </x:c>
      <x:c r="J112" s="2" t="str">
        <x:v>Binding pending</x:v>
      </x:c>
      <x:c r="K112" s="2" t="str">
        <x:v>portal-buildout/monsters/Mob_Portal_PUFFCAP_T3.glb</x:v>
      </x:c>
      <x:c r="L112" s="2" t="str">
        <x:v>78a9d0175420f366bb7b41d5b3dbe15b97510cdab07fc8c17280b6aab7a2511e</x:v>
      </x:c>
      <x:c r="M112" s="17" t="n">
        <x:v>0</x:v>
      </x:c>
      <x:c r="N112" s="2" t="str">
        <x:v>PUFFCAP</x:v>
      </x:c>
    </x:row>
    <x:row r="113" ht="38" customHeight="1">
      <x:c r="A113" s="2" t="str">
        <x:v>Mob_Portal_SHADECAP_T1</x:v>
      </x:c>
      <x:c r="B113" s="2" t="str">
        <x:v>Character</x:v>
      </x:c>
      <x:c r="C113" s="2" t="str">
        <x:v>Portal Realm</x:v>
      </x:c>
      <x:c r="D113" s="4" t="str">
        <x:v>Encounter visual: SHADECAP</x:v>
      </x:c>
      <x:c r="E113" s="6" t="n">
        <x:v>540</x:v>
      </x:c>
      <x:c r="F113" s="2" t="str">
        <x:v>PortalCreatureV1</x:v>
      </x:c>
      <x:c r="G113" s="4" t="str">
        <x:v>Idle, Walk, Attack, Hurt</x:v>
      </x:c>
      <x:c r="H113" s="2" t="str">
        <x:v>Validated</x:v>
      </x:c>
      <x:c r="I113" s="2" t="str">
        <x:v>Pending</x:v>
      </x:c>
      <x:c r="J113" s="2" t="str">
        <x:v>Binding pending</x:v>
      </x:c>
      <x:c r="K113" s="2" t="str">
        <x:v>portal-buildout/monsters/Mob_Portal_SHADECAP_T1.glb</x:v>
      </x:c>
      <x:c r="L113" s="2" t="str">
        <x:v>e410d159bb1cc9a504ab6154166ca36905ecbf4b8e474109df2d9316bb7f0b42</x:v>
      </x:c>
      <x:c r="M113" s="17" t="n">
        <x:v>1</x:v>
      </x:c>
      <x:c r="N113" s="2" t="str">
        <x:v>SHADECAP</x:v>
      </x:c>
    </x:row>
    <x:row r="114" ht="38" customHeight="1">
      <x:c r="A114" s="2" t="str">
        <x:v>Mob_Portal_SHADECAP_T2</x:v>
      </x:c>
      <x:c r="B114" s="2" t="str">
        <x:v>Character</x:v>
      </x:c>
      <x:c r="C114" s="2" t="str">
        <x:v>Portal Realm</x:v>
      </x:c>
      <x:c r="D114" s="4" t="str">
        <x:v>Encounter visual: SHADECAP</x:v>
      </x:c>
      <x:c r="E114" s="6" t="n">
        <x:v>540</x:v>
      </x:c>
      <x:c r="F114" s="2" t="str">
        <x:v>PortalCreatureV1</x:v>
      </x:c>
      <x:c r="G114" s="4" t="str">
        <x:v>Idle, Walk, Attack, Hurt</x:v>
      </x:c>
      <x:c r="H114" s="2" t="str">
        <x:v>Validated</x:v>
      </x:c>
      <x:c r="I114" s="2" t="str">
        <x:v>Pending</x:v>
      </x:c>
      <x:c r="J114" s="2" t="str">
        <x:v>Binding pending</x:v>
      </x:c>
      <x:c r="K114" s="2" t="str">
        <x:v>portal-buildout/monsters/Mob_Portal_SHADECAP_T2.glb</x:v>
      </x:c>
      <x:c r="L114" s="2" t="str">
        <x:v>a5712f34a5821ab4f36d26489de2d5b86d8e4165c820375978f96a67e2d78df6</x:v>
      </x:c>
      <x:c r="M114" s="17" t="n">
        <x:v>0</x:v>
      </x:c>
      <x:c r="N114" s="2" t="str">
        <x:v>SHADECAP</x:v>
      </x:c>
    </x:row>
    <x:row r="115" ht="38" customHeight="1">
      <x:c r="A115" s="2" t="str">
        <x:v>Mob_Portal_SHADECAP_T3</x:v>
      </x:c>
      <x:c r="B115" s="2" t="str">
        <x:v>Character</x:v>
      </x:c>
      <x:c r="C115" s="2" t="str">
        <x:v>Portal Realm</x:v>
      </x:c>
      <x:c r="D115" s="4" t="str">
        <x:v>Encounter visual: SHADECAP</x:v>
      </x:c>
      <x:c r="E115" s="6" t="n">
        <x:v>540</x:v>
      </x:c>
      <x:c r="F115" s="2" t="str">
        <x:v>PortalCreatureV1</x:v>
      </x:c>
      <x:c r="G115" s="4" t="str">
        <x:v>Idle, Walk, Attack, Hurt</x:v>
      </x:c>
      <x:c r="H115" s="2" t="str">
        <x:v>Validated</x:v>
      </x:c>
      <x:c r="I115" s="2" t="str">
        <x:v>Pending</x:v>
      </x:c>
      <x:c r="J115" s="2" t="str">
        <x:v>Binding pending</x:v>
      </x:c>
      <x:c r="K115" s="2" t="str">
        <x:v>portal-buildout/monsters/Mob_Portal_SHADECAP_T3.glb</x:v>
      </x:c>
      <x:c r="L115" s="2" t="str">
        <x:v>99baa0efafa47dd2c2a63804e6d2f94176bf4aa2fe816e3c892fc6070cfc99f4</x:v>
      </x:c>
      <x:c r="M115" s="17" t="n">
        <x:v>0</x:v>
      </x:c>
      <x:c r="N115" s="2" t="str">
        <x:v>SHADECAP</x:v>
      </x:c>
    </x:row>
    <x:row r="116" ht="38" customHeight="1">
      <x:c r="A116" s="2" t="str">
        <x:v>Mob_Portal_GLOOMWING_T1</x:v>
      </x:c>
      <x:c r="B116" s="2" t="str">
        <x:v>Character</x:v>
      </x:c>
      <x:c r="C116" s="2" t="str">
        <x:v>Portal Realm</x:v>
      </x:c>
      <x:c r="D116" s="4" t="str">
        <x:v>Encounter visual: GLOOMWING</x:v>
      </x:c>
      <x:c r="E116" s="6" t="n">
        <x:v>616</x:v>
      </x:c>
      <x:c r="F116" s="2" t="str">
        <x:v>PortalCreatureV1</x:v>
      </x:c>
      <x:c r="G116" s="4" t="str">
        <x:v>Idle, Walk, Attack, Hurt</x:v>
      </x:c>
      <x:c r="H116" s="2" t="str">
        <x:v>Validated</x:v>
      </x:c>
      <x:c r="I116" s="2" t="str">
        <x:v>Pending</x:v>
      </x:c>
      <x:c r="J116" s="2" t="str">
        <x:v>Binding pending</x:v>
      </x:c>
      <x:c r="K116" s="2" t="str">
        <x:v>portal-buildout/monsters/Mob_Portal_GLOOMWING_T1.glb</x:v>
      </x:c>
      <x:c r="L116" s="2" t="str">
        <x:v>5a78181af3c7747a3ce7691bacfa368c0c58d8d3890cd6349222f5f5a2264198</x:v>
      </x:c>
      <x:c r="M116" s="17" t="n">
        <x:v>1</x:v>
      </x:c>
      <x:c r="N116" s="2" t="str">
        <x:v>GLOOMWING</x:v>
      </x:c>
    </x:row>
    <x:row r="117" ht="38" customHeight="1">
      <x:c r="A117" s="2" t="str">
        <x:v>Mob_Portal_GLOOMWING_T2</x:v>
      </x:c>
      <x:c r="B117" s="2" t="str">
        <x:v>Character</x:v>
      </x:c>
      <x:c r="C117" s="2" t="str">
        <x:v>Portal Realm</x:v>
      </x:c>
      <x:c r="D117" s="4" t="str">
        <x:v>Encounter visual: GLOOMWING</x:v>
      </x:c>
      <x:c r="E117" s="6" t="n">
        <x:v>616</x:v>
      </x:c>
      <x:c r="F117" s="2" t="str">
        <x:v>PortalCreatureV1</x:v>
      </x:c>
      <x:c r="G117" s="4" t="str">
        <x:v>Idle, Walk, Attack, Hurt</x:v>
      </x:c>
      <x:c r="H117" s="2" t="str">
        <x:v>Validated</x:v>
      </x:c>
      <x:c r="I117" s="2" t="str">
        <x:v>Pending</x:v>
      </x:c>
      <x:c r="J117" s="2" t="str">
        <x:v>Binding pending</x:v>
      </x:c>
      <x:c r="K117" s="2" t="str">
        <x:v>portal-buildout/monsters/Mob_Portal_GLOOMWING_T2.glb</x:v>
      </x:c>
      <x:c r="L117" s="2" t="str">
        <x:v>f122801696b2593c838ce2593dd1cac5476255018ff7436576a2bb88f1b50108</x:v>
      </x:c>
      <x:c r="M117" s="17" t="n">
        <x:v>0</x:v>
      </x:c>
      <x:c r="N117" s="2" t="str">
        <x:v>GLOOMWING</x:v>
      </x:c>
    </x:row>
    <x:row r="118" ht="38" customHeight="1">
      <x:c r="A118" s="2" t="str">
        <x:v>Mob_Portal_GLOOMWING_T3</x:v>
      </x:c>
      <x:c r="B118" s="2" t="str">
        <x:v>Character</x:v>
      </x:c>
      <x:c r="C118" s="2" t="str">
        <x:v>Portal Realm</x:v>
      </x:c>
      <x:c r="D118" s="4" t="str">
        <x:v>Encounter visual: GLOOMWING</x:v>
      </x:c>
      <x:c r="E118" s="6" t="n">
        <x:v>616</x:v>
      </x:c>
      <x:c r="F118" s="2" t="str">
        <x:v>PortalCreatureV1</x:v>
      </x:c>
      <x:c r="G118" s="4" t="str">
        <x:v>Idle, Walk, Attack, Hurt</x:v>
      </x:c>
      <x:c r="H118" s="2" t="str">
        <x:v>Validated</x:v>
      </x:c>
      <x:c r="I118" s="2" t="str">
        <x:v>Pending</x:v>
      </x:c>
      <x:c r="J118" s="2" t="str">
        <x:v>Binding pending</x:v>
      </x:c>
      <x:c r="K118" s="2" t="str">
        <x:v>portal-buildout/monsters/Mob_Portal_GLOOMWING_T3.glb</x:v>
      </x:c>
      <x:c r="L118" s="2" t="str">
        <x:v>f82a81cf00227f335a77a02b06c81e51b5efc45ba842e8e06272752eb01d3017</x:v>
      </x:c>
      <x:c r="M118" s="17" t="n">
        <x:v>0</x:v>
      </x:c>
      <x:c r="N118" s="2" t="str">
        <x:v>GLOOMWING</x:v>
      </x:c>
    </x:row>
    <x:row r="119" ht="38" customHeight="1">
      <x:c r="A119" s="2" t="str">
        <x:v>Mob_Portal_STARE_ORB_T1</x:v>
      </x:c>
      <x:c r="B119" s="2" t="str">
        <x:v>Character</x:v>
      </x:c>
      <x:c r="C119" s="2" t="str">
        <x:v>Portal Realm</x:v>
      </x:c>
      <x:c r="D119" s="4" t="str">
        <x:v>Encounter visual: STARE ORB</x:v>
      </x:c>
      <x:c r="E119" s="6" t="n">
        <x:v>360</x:v>
      </x:c>
      <x:c r="F119" s="2" t="str">
        <x:v>PortalCreatureV1</x:v>
      </x:c>
      <x:c r="G119" s="4" t="str">
        <x:v>Idle, Walk, Attack, Hurt</x:v>
      </x:c>
      <x:c r="H119" s="2" t="str">
        <x:v>Validated</x:v>
      </x:c>
      <x:c r="I119" s="2" t="str">
        <x:v>Pending</x:v>
      </x:c>
      <x:c r="J119" s="2" t="str">
        <x:v>Binding pending</x:v>
      </x:c>
      <x:c r="K119" s="2" t="str">
        <x:v>portal-buildout/monsters/Mob_Portal_STARE_ORB_T1.glb</x:v>
      </x:c>
      <x:c r="L119" s="2" t="str">
        <x:v>97018ec18804fe2efe4e7486afe2f90d6320165d7ddaf3f1324437b35b63b34d</x:v>
      </x:c>
      <x:c r="M119" s="17" t="n">
        <x:v>1</x:v>
      </x:c>
      <x:c r="N119" s="2" t="str">
        <x:v>STARE_ORB</x:v>
      </x:c>
    </x:row>
    <x:row r="120" ht="38" customHeight="1">
      <x:c r="A120" s="2" t="str">
        <x:v>Mob_Portal_STARE_ORB_T2</x:v>
      </x:c>
      <x:c r="B120" s="2" t="str">
        <x:v>Character</x:v>
      </x:c>
      <x:c r="C120" s="2" t="str">
        <x:v>Portal Realm</x:v>
      </x:c>
      <x:c r="D120" s="4" t="str">
        <x:v>Encounter visual: STARE ORB</x:v>
      </x:c>
      <x:c r="E120" s="6" t="n">
        <x:v>360</x:v>
      </x:c>
      <x:c r="F120" s="2" t="str">
        <x:v>PortalCreatureV1</x:v>
      </x:c>
      <x:c r="G120" s="4" t="str">
        <x:v>Idle, Walk, Attack, Hurt</x:v>
      </x:c>
      <x:c r="H120" s="2" t="str">
        <x:v>Validated</x:v>
      </x:c>
      <x:c r="I120" s="2" t="str">
        <x:v>Pending</x:v>
      </x:c>
      <x:c r="J120" s="2" t="str">
        <x:v>Binding pending</x:v>
      </x:c>
      <x:c r="K120" s="2" t="str">
        <x:v>portal-buildout/monsters/Mob_Portal_STARE_ORB_T2.glb</x:v>
      </x:c>
      <x:c r="L120" s="2" t="str">
        <x:v>296a7e9c1849950e841f7dd40df6fa96ac196fc3ec71e890f46d6bae3413d977</x:v>
      </x:c>
      <x:c r="M120" s="17" t="n">
        <x:v>0</x:v>
      </x:c>
      <x:c r="N120" s="2" t="str">
        <x:v>STARE_ORB</x:v>
      </x:c>
    </x:row>
    <x:row r="121" ht="38" customHeight="1">
      <x:c r="A121" s="2" t="str">
        <x:v>Mob_Portal_STARE_ORB_T3</x:v>
      </x:c>
      <x:c r="B121" s="2" t="str">
        <x:v>Character</x:v>
      </x:c>
      <x:c r="C121" s="2" t="str">
        <x:v>Portal Realm</x:v>
      </x:c>
      <x:c r="D121" s="4" t="str">
        <x:v>Encounter visual: STARE ORB</x:v>
      </x:c>
      <x:c r="E121" s="6" t="n">
        <x:v>360</x:v>
      </x:c>
      <x:c r="F121" s="2" t="str">
        <x:v>PortalCreatureV1</x:v>
      </x:c>
      <x:c r="G121" s="4" t="str">
        <x:v>Idle, Walk, Attack, Hurt</x:v>
      </x:c>
      <x:c r="H121" s="2" t="str">
        <x:v>Validated</x:v>
      </x:c>
      <x:c r="I121" s="2" t="str">
        <x:v>Pending</x:v>
      </x:c>
      <x:c r="J121" s="2" t="str">
        <x:v>Binding pending</x:v>
      </x:c>
      <x:c r="K121" s="2" t="str">
        <x:v>portal-buildout/monsters/Mob_Portal_STARE_ORB_T3.glb</x:v>
      </x:c>
      <x:c r="L121" s="2" t="str">
        <x:v>73a7f33e5f421677e1dd386de7e429cd9ab9b1ece4f57aa7e6b9d4d1fdb85454</x:v>
      </x:c>
      <x:c r="M121" s="17" t="n">
        <x:v>0</x:v>
      </x:c>
      <x:c r="N121" s="2" t="str">
        <x:v>STARE_ORB</x:v>
      </x:c>
    </x:row>
    <x:row r="122" ht="38" customHeight="1">
      <x:c r="A122" s="2" t="str">
        <x:v>Mob_Portal_GNASHBOX_T1</x:v>
      </x:c>
      <x:c r="B122" s="2" t="str">
        <x:v>Character</x:v>
      </x:c>
      <x:c r="C122" s="2" t="str">
        <x:v>Portal Realm</x:v>
      </x:c>
      <x:c r="D122" s="4" t="str">
        <x:v>Encounter visual: GNASHBOX</x:v>
      </x:c>
      <x:c r="E122" s="6" t="n">
        <x:v>272</x:v>
      </x:c>
      <x:c r="F122" s="2" t="str">
        <x:v>PortalCreatureV1</x:v>
      </x:c>
      <x:c r="G122" s="4" t="str">
        <x:v>Idle, Walk, Attack, Hurt</x:v>
      </x:c>
      <x:c r="H122" s="2" t="str">
        <x:v>Validated</x:v>
      </x:c>
      <x:c r="I122" s="2" t="str">
        <x:v>Pending</x:v>
      </x:c>
      <x:c r="J122" s="2" t="str">
        <x:v>Binding pending</x:v>
      </x:c>
      <x:c r="K122" s="2" t="str">
        <x:v>portal-buildout/monsters/Mob_Portal_GNASHBOX_T1.glb</x:v>
      </x:c>
      <x:c r="L122" s="2" t="str">
        <x:v>612ff2074c2fb4669e1b0ed3dae57537f48985b8b3cf8e21b954586c9f4c7bcf</x:v>
      </x:c>
      <x:c r="M122" s="17" t="n">
        <x:v>1</x:v>
      </x:c>
      <x:c r="N122" s="2" t="str">
        <x:v>GNASHBOX</x:v>
      </x:c>
    </x:row>
    <x:row r="123" ht="38" customHeight="1">
      <x:c r="A123" s="2" t="str">
        <x:v>Mob_Portal_GNASHBOX_T2</x:v>
      </x:c>
      <x:c r="B123" s="2" t="str">
        <x:v>Character</x:v>
      </x:c>
      <x:c r="C123" s="2" t="str">
        <x:v>Portal Realm</x:v>
      </x:c>
      <x:c r="D123" s="4" t="str">
        <x:v>Encounter visual: GNASHBOX</x:v>
      </x:c>
      <x:c r="E123" s="6" t="n">
        <x:v>272</x:v>
      </x:c>
      <x:c r="F123" s="2" t="str">
        <x:v>PortalCreatureV1</x:v>
      </x:c>
      <x:c r="G123" s="4" t="str">
        <x:v>Idle, Walk, Attack, Hurt</x:v>
      </x:c>
      <x:c r="H123" s="2" t="str">
        <x:v>Validated</x:v>
      </x:c>
      <x:c r="I123" s="2" t="str">
        <x:v>Pending</x:v>
      </x:c>
      <x:c r="J123" s="2" t="str">
        <x:v>Binding pending</x:v>
      </x:c>
      <x:c r="K123" s="2" t="str">
        <x:v>portal-buildout/monsters/Mob_Portal_GNASHBOX_T2.glb</x:v>
      </x:c>
      <x:c r="L123" s="2" t="str">
        <x:v>4e0f028d1017c85d5b5fdca900e09d7032952ee35986bbdef5bc8b46444812e8</x:v>
      </x:c>
      <x:c r="M123" s="17" t="n">
        <x:v>0</x:v>
      </x:c>
      <x:c r="N123" s="2" t="str">
        <x:v>GNASHBOX</x:v>
      </x:c>
    </x:row>
    <x:row r="124" ht="38" customHeight="1">
      <x:c r="A124" s="2" t="str">
        <x:v>Mob_Portal_GNASHBOX_T3</x:v>
      </x:c>
      <x:c r="B124" s="2" t="str">
        <x:v>Character</x:v>
      </x:c>
      <x:c r="C124" s="2" t="str">
        <x:v>Portal Realm</x:v>
      </x:c>
      <x:c r="D124" s="4" t="str">
        <x:v>Encounter visual: GNASHBOX</x:v>
      </x:c>
      <x:c r="E124" s="6" t="n">
        <x:v>272</x:v>
      </x:c>
      <x:c r="F124" s="2" t="str">
        <x:v>PortalCreatureV1</x:v>
      </x:c>
      <x:c r="G124" s="4" t="str">
        <x:v>Idle, Walk, Attack, Hurt</x:v>
      </x:c>
      <x:c r="H124" s="2" t="str">
        <x:v>Validated</x:v>
      </x:c>
      <x:c r="I124" s="2" t="str">
        <x:v>Pending</x:v>
      </x:c>
      <x:c r="J124" s="2" t="str">
        <x:v>Binding pending</x:v>
      </x:c>
      <x:c r="K124" s="2" t="str">
        <x:v>portal-buildout/monsters/Mob_Portal_GNASHBOX_T3.glb</x:v>
      </x:c>
      <x:c r="L124" s="2" t="str">
        <x:v>aeb34f40e791703ec5f9c94c99c213b7f9c43f38178effe544162b338cbd991c</x:v>
      </x:c>
      <x:c r="M124" s="17" t="n">
        <x:v>0</x:v>
      </x:c>
      <x:c r="N124" s="2" t="str">
        <x:v>GNASHBOX</x:v>
      </x:c>
    </x:row>
    <x:row r="125" ht="38" customHeight="1">
      <x:c r="A125" s="2" t="str">
        <x:v>Mob_Portal_MOSS_KNIGHT_T1</x:v>
      </x:c>
      <x:c r="B125" s="2" t="str">
        <x:v>Character</x:v>
      </x:c>
      <x:c r="C125" s="2" t="str">
        <x:v>Portal Realm</x:v>
      </x:c>
      <x:c r="D125" s="4" t="str">
        <x:v>Encounter visual: MOSS KNIGHT</x:v>
      </x:c>
      <x:c r="E125" s="6" t="n">
        <x:v>376</x:v>
      </x:c>
      <x:c r="F125" s="2" t="str">
        <x:v>PortalCreatureV1</x:v>
      </x:c>
      <x:c r="G125" s="4" t="str">
        <x:v>Idle, Walk, Attack, Hurt</x:v>
      </x:c>
      <x:c r="H125" s="2" t="str">
        <x:v>Validated</x:v>
      </x:c>
      <x:c r="I125" s="2" t="str">
        <x:v>Pending</x:v>
      </x:c>
      <x:c r="J125" s="2" t="str">
        <x:v>Binding pending</x:v>
      </x:c>
      <x:c r="K125" s="2" t="str">
        <x:v>portal-buildout/monsters/Mob_Portal_MOSS_KNIGHT_T1.glb</x:v>
      </x:c>
      <x:c r="L125" s="2" t="str">
        <x:v>e2dfd5f053ef6159d10d41b1993f7774627d22c3f911bffae8b4536e1ea52a85</x:v>
      </x:c>
      <x:c r="M125" s="17" t="n">
        <x:v>1</x:v>
      </x:c>
      <x:c r="N125" s="2" t="str">
        <x:v>MOSS_KNIGHT</x:v>
      </x:c>
    </x:row>
    <x:row r="126" ht="38" customHeight="1">
      <x:c r="A126" s="2" t="str">
        <x:v>Mob_Portal_MOSS_KNIGHT_T2</x:v>
      </x:c>
      <x:c r="B126" s="2" t="str">
        <x:v>Character</x:v>
      </x:c>
      <x:c r="C126" s="2" t="str">
        <x:v>Portal Realm</x:v>
      </x:c>
      <x:c r="D126" s="4" t="str">
        <x:v>Encounter visual: MOSS KNIGHT</x:v>
      </x:c>
      <x:c r="E126" s="6" t="n">
        <x:v>376</x:v>
      </x:c>
      <x:c r="F126" s="2" t="str">
        <x:v>PortalCreatureV1</x:v>
      </x:c>
      <x:c r="G126" s="4" t="str">
        <x:v>Idle, Walk, Attack, Hurt</x:v>
      </x:c>
      <x:c r="H126" s="2" t="str">
        <x:v>Validated</x:v>
      </x:c>
      <x:c r="I126" s="2" t="str">
        <x:v>Pending</x:v>
      </x:c>
      <x:c r="J126" s="2" t="str">
        <x:v>Binding pending</x:v>
      </x:c>
      <x:c r="K126" s="2" t="str">
        <x:v>portal-buildout/monsters/Mob_Portal_MOSS_KNIGHT_T2.glb</x:v>
      </x:c>
      <x:c r="L126" s="2" t="str">
        <x:v>6671fcce3ae0835aa8fee34fde8a4927439bccf9e2116fbb7835bb716cc60024</x:v>
      </x:c>
      <x:c r="M126" s="17" t="n">
        <x:v>0</x:v>
      </x:c>
      <x:c r="N126" s="2" t="str">
        <x:v>MOSS_KNIGHT</x:v>
      </x:c>
    </x:row>
    <x:row r="127" ht="38" customHeight="1">
      <x:c r="A127" s="2" t="str">
        <x:v>Mob_Portal_MOSS_KNIGHT_T3</x:v>
      </x:c>
      <x:c r="B127" s="2" t="str">
        <x:v>Character</x:v>
      </x:c>
      <x:c r="C127" s="2" t="str">
        <x:v>Portal Realm</x:v>
      </x:c>
      <x:c r="D127" s="4" t="str">
        <x:v>Encounter visual: MOSS KNIGHT</x:v>
      </x:c>
      <x:c r="E127" s="6" t="n">
        <x:v>376</x:v>
      </x:c>
      <x:c r="F127" s="2" t="str">
        <x:v>PortalCreatureV1</x:v>
      </x:c>
      <x:c r="G127" s="4" t="str">
        <x:v>Idle, Walk, Attack, Hurt</x:v>
      </x:c>
      <x:c r="H127" s="2" t="str">
        <x:v>Validated</x:v>
      </x:c>
      <x:c r="I127" s="2" t="str">
        <x:v>Pending</x:v>
      </x:c>
      <x:c r="J127" s="2" t="str">
        <x:v>Binding pending</x:v>
      </x:c>
      <x:c r="K127" s="2" t="str">
        <x:v>portal-buildout/monsters/Mob_Portal_MOSS_KNIGHT_T3.glb</x:v>
      </x:c>
      <x:c r="L127" s="2" t="str">
        <x:v>f867c48e4c9117d4c1399e9c93ba248611777b45dada9383c056175d91902303</x:v>
      </x:c>
      <x:c r="M127" s="17" t="n">
        <x:v>0</x:v>
      </x:c>
      <x:c r="N127" s="2" t="str">
        <x:v>MOSS_KNIGHT</x:v>
      </x:c>
    </x:row>
    <x:row r="128" ht="38" customHeight="1">
      <x:c r="A128" s="2" t="str">
        <x:v>Mob_Portal_STONE_KNIGHT_T1</x:v>
      </x:c>
      <x:c r="B128" s="2" t="str">
        <x:v>Character</x:v>
      </x:c>
      <x:c r="C128" s="2" t="str">
        <x:v>Portal Realm</x:v>
      </x:c>
      <x:c r="D128" s="4" t="str">
        <x:v>Encounter visual: STONE KNIGHT</x:v>
      </x:c>
      <x:c r="E128" s="6" t="n">
        <x:v>376</x:v>
      </x:c>
      <x:c r="F128" s="2" t="str">
        <x:v>PortalCreatureV1</x:v>
      </x:c>
      <x:c r="G128" s="4" t="str">
        <x:v>Idle, Walk, Attack, Hurt</x:v>
      </x:c>
      <x:c r="H128" s="2" t="str">
        <x:v>Validated</x:v>
      </x:c>
      <x:c r="I128" s="2" t="str">
        <x:v>Pending</x:v>
      </x:c>
      <x:c r="J128" s="2" t="str">
        <x:v>Binding pending</x:v>
      </x:c>
      <x:c r="K128" s="2" t="str">
        <x:v>portal-buildout/monsters/Mob_Portal_STONE_KNIGHT_T1.glb</x:v>
      </x:c>
      <x:c r="L128" s="2" t="str">
        <x:v>563ddaff916f00d458d2663482e82580ffe6b0c6933dd1dd339d44e1e0ec2a14</x:v>
      </x:c>
      <x:c r="M128" s="17" t="n">
        <x:v>1</x:v>
      </x:c>
      <x:c r="N128" s="2" t="str">
        <x:v>STONE_KNIGHT</x:v>
      </x:c>
    </x:row>
    <x:row r="129" ht="38" customHeight="1">
      <x:c r="A129" s="2" t="str">
        <x:v>Mob_Portal_STONE_KNIGHT_T2</x:v>
      </x:c>
      <x:c r="B129" s="2" t="str">
        <x:v>Character</x:v>
      </x:c>
      <x:c r="C129" s="2" t="str">
        <x:v>Portal Realm</x:v>
      </x:c>
      <x:c r="D129" s="4" t="str">
        <x:v>Encounter visual: STONE KNIGHT</x:v>
      </x:c>
      <x:c r="E129" s="6" t="n">
        <x:v>376</x:v>
      </x:c>
      <x:c r="F129" s="2" t="str">
        <x:v>PortalCreatureV1</x:v>
      </x:c>
      <x:c r="G129" s="4" t="str">
        <x:v>Idle, Walk, Attack, Hurt</x:v>
      </x:c>
      <x:c r="H129" s="2" t="str">
        <x:v>Validated</x:v>
      </x:c>
      <x:c r="I129" s="2" t="str">
        <x:v>Pending</x:v>
      </x:c>
      <x:c r="J129" s="2" t="str">
        <x:v>Binding pending</x:v>
      </x:c>
      <x:c r="K129" s="2" t="str">
        <x:v>portal-buildout/monsters/Mob_Portal_STONE_KNIGHT_T2.glb</x:v>
      </x:c>
      <x:c r="L129" s="2" t="str">
        <x:v>84d71670d007e64c1248046623bc50c4f86758f0730738878fd08cfc230aa86b</x:v>
      </x:c>
      <x:c r="M129" s="17" t="n">
        <x:v>0</x:v>
      </x:c>
      <x:c r="N129" s="2" t="str">
        <x:v>STONE_KNIGHT</x:v>
      </x:c>
    </x:row>
    <x:row r="130" ht="38" customHeight="1">
      <x:c r="A130" s="2" t="str">
        <x:v>Mob_Portal_STONE_KNIGHT_T3</x:v>
      </x:c>
      <x:c r="B130" s="2" t="str">
        <x:v>Character</x:v>
      </x:c>
      <x:c r="C130" s="2" t="str">
        <x:v>Portal Realm</x:v>
      </x:c>
      <x:c r="D130" s="4" t="str">
        <x:v>Encounter visual: STONE KNIGHT</x:v>
      </x:c>
      <x:c r="E130" s="6" t="n">
        <x:v>376</x:v>
      </x:c>
      <x:c r="F130" s="2" t="str">
        <x:v>PortalCreatureV1</x:v>
      </x:c>
      <x:c r="G130" s="4" t="str">
        <x:v>Idle, Walk, Attack, Hurt</x:v>
      </x:c>
      <x:c r="H130" s="2" t="str">
        <x:v>Validated</x:v>
      </x:c>
      <x:c r="I130" s="2" t="str">
        <x:v>Pending</x:v>
      </x:c>
      <x:c r="J130" s="2" t="str">
        <x:v>Binding pending</x:v>
      </x:c>
      <x:c r="K130" s="2" t="str">
        <x:v>portal-buildout/monsters/Mob_Portal_STONE_KNIGHT_T3.glb</x:v>
      </x:c>
      <x:c r="L130" s="2" t="str">
        <x:v>e745314bcf93232f8f37671298985886f8f981ee86e23b584918006e9411ce1b</x:v>
      </x:c>
      <x:c r="M130" s="17" t="n">
        <x:v>0</x:v>
      </x:c>
      <x:c r="N130" s="2" t="str">
        <x:v>STONE_KNIGHT</x:v>
      </x:c>
    </x:row>
    <x:row r="131" ht="38" customHeight="1">
      <x:c r="A131" s="2" t="str">
        <x:v>Mob_Portal_SHARD_TYRANT_T1</x:v>
      </x:c>
      <x:c r="B131" s="2" t="str">
        <x:v>Character</x:v>
      </x:c>
      <x:c r="C131" s="2" t="str">
        <x:v>Portal Realm</x:v>
      </x:c>
      <x:c r="D131" s="4" t="str">
        <x:v>Encounter visual: SHARD TYRANT</x:v>
      </x:c>
      <x:c r="E131" s="6" t="n">
        <x:v>430</x:v>
      </x:c>
      <x:c r="F131" s="2" t="str">
        <x:v>PortalCreatureV1</x:v>
      </x:c>
      <x:c r="G131" s="4" t="str">
        <x:v>Idle, Walk, Attack, Hurt</x:v>
      </x:c>
      <x:c r="H131" s="2" t="str">
        <x:v>Validated</x:v>
      </x:c>
      <x:c r="I131" s="2" t="str">
        <x:v>Pending</x:v>
      </x:c>
      <x:c r="J131" s="2" t="str">
        <x:v>Binding pending</x:v>
      </x:c>
      <x:c r="K131" s="2" t="str">
        <x:v>portal-buildout/monsters/Mob_Portal_SHARD_TYRANT_T1.glb</x:v>
      </x:c>
      <x:c r="L131" s="2" t="str">
        <x:v>d8b40c20b5131d8f674cdf281a9dcfff87cac4b0199a7530c64044295a185fa1</x:v>
      </x:c>
      <x:c r="M131" s="17" t="n">
        <x:v>1</x:v>
      </x:c>
      <x:c r="N131" s="2" t="str">
        <x:v>SHARD_TYRANT</x:v>
      </x:c>
    </x:row>
    <x:row r="132" ht="38" customHeight="1">
      <x:c r="A132" s="2" t="str">
        <x:v>Mob_Portal_SHARD_TYRANT_T2</x:v>
      </x:c>
      <x:c r="B132" s="2" t="str">
        <x:v>Character</x:v>
      </x:c>
      <x:c r="C132" s="2" t="str">
        <x:v>Portal Realm</x:v>
      </x:c>
      <x:c r="D132" s="4" t="str">
        <x:v>Encounter visual: SHARD TYRANT</x:v>
      </x:c>
      <x:c r="E132" s="6" t="n">
        <x:v>430</x:v>
      </x:c>
      <x:c r="F132" s="2" t="str">
        <x:v>PortalCreatureV1</x:v>
      </x:c>
      <x:c r="G132" s="4" t="str">
        <x:v>Idle, Walk, Attack, Hurt</x:v>
      </x:c>
      <x:c r="H132" s="2" t="str">
        <x:v>Validated</x:v>
      </x:c>
      <x:c r="I132" s="2" t="str">
        <x:v>Pending</x:v>
      </x:c>
      <x:c r="J132" s="2" t="str">
        <x:v>Binding pending</x:v>
      </x:c>
      <x:c r="K132" s="2" t="str">
        <x:v>portal-buildout/monsters/Mob_Portal_SHARD_TYRANT_T2.glb</x:v>
      </x:c>
      <x:c r="L132" s="2" t="str">
        <x:v>ce4c040728ab120512e972a15959e6fbb3ec0eba926a0a7a5ed96ce39b932f16</x:v>
      </x:c>
      <x:c r="M132" s="17" t="n">
        <x:v>0</x:v>
      </x:c>
      <x:c r="N132" s="2" t="str">
        <x:v>SHARD_TYRANT</x:v>
      </x:c>
    </x:row>
    <x:row r="133" ht="38" customHeight="1">
      <x:c r="A133" s="2" t="str">
        <x:v>Mob_Portal_SHARD_TYRANT_T3</x:v>
      </x:c>
      <x:c r="B133" s="2" t="str">
        <x:v>Character</x:v>
      </x:c>
      <x:c r="C133" s="2" t="str">
        <x:v>Portal Realm</x:v>
      </x:c>
      <x:c r="D133" s="4" t="str">
        <x:v>Encounter visual: SHARD TYRANT</x:v>
      </x:c>
      <x:c r="E133" s="6" t="n">
        <x:v>430</x:v>
      </x:c>
      <x:c r="F133" s="2" t="str">
        <x:v>PortalCreatureV1</x:v>
      </x:c>
      <x:c r="G133" s="4" t="str">
        <x:v>Idle, Walk, Attack, Hurt</x:v>
      </x:c>
      <x:c r="H133" s="2" t="str">
        <x:v>Validated</x:v>
      </x:c>
      <x:c r="I133" s="2" t="str">
        <x:v>Pending</x:v>
      </x:c>
      <x:c r="J133" s="2" t="str">
        <x:v>Binding pending</x:v>
      </x:c>
      <x:c r="K133" s="2" t="str">
        <x:v>portal-buildout/monsters/Mob_Portal_SHARD_TYRANT_T3.glb</x:v>
      </x:c>
      <x:c r="L133" s="2" t="str">
        <x:v>3cd79da9f5aa8d9da2b342fb3c026e3673e953f5dc9289ddc0dfba3a1a6e896f</x:v>
      </x:c>
      <x:c r="M133" s="17" t="n">
        <x:v>0</x:v>
      </x:c>
      <x:c r="N133" s="2" t="str">
        <x:v>SHARD_TYRANT</x:v>
      </x:c>
    </x:row>
    <x:row r="134" ht="38" customHeight="1">
      <x:c r="A134" s="2" t="str">
        <x:v>Mob_Portal_GOLDEN_PUFFCAP_T1</x:v>
      </x:c>
      <x:c r="B134" s="2" t="str">
        <x:v>Character</x:v>
      </x:c>
      <x:c r="C134" s="2" t="str">
        <x:v>Portal Realm</x:v>
      </x:c>
      <x:c r="D134" s="4" t="str">
        <x:v>Encounter visual: GOLDEN PUFFCAP</x:v>
      </x:c>
      <x:c r="E134" s="6" t="n">
        <x:v>540</x:v>
      </x:c>
      <x:c r="F134" s="2" t="str">
        <x:v>PortalCreatureV1</x:v>
      </x:c>
      <x:c r="G134" s="4" t="str">
        <x:v>Idle, Walk, Attack, Hurt</x:v>
      </x:c>
      <x:c r="H134" s="2" t="str">
        <x:v>Validated</x:v>
      </x:c>
      <x:c r="I134" s="2" t="str">
        <x:v>Pending</x:v>
      </x:c>
      <x:c r="J134" s="2" t="str">
        <x:v>Binding pending</x:v>
      </x:c>
      <x:c r="K134" s="2" t="str">
        <x:v>portal-buildout/monsters/Mob_Portal_GOLDEN_PUFFCAP_T1.glb</x:v>
      </x:c>
      <x:c r="L134" s="2" t="str">
        <x:v>7318683ea953bf609c343cf353cc1906939ead358d10ade2d905890197b3266a</x:v>
      </x:c>
      <x:c r="M134" s="17" t="n">
        <x:v>1</x:v>
      </x:c>
      <x:c r="N134" s="2" t="str">
        <x:v>n.a.</x:v>
      </x:c>
    </x:row>
    <x:row r="135" ht="38" customHeight="1">
      <x:c r="A135" s="2" t="str">
        <x:v>Mob_Portal_EGG_HATCHLING_T1</x:v>
      </x:c>
      <x:c r="B135" s="2" t="str">
        <x:v>Character</x:v>
      </x:c>
      <x:c r="C135" s="2" t="str">
        <x:v>Portal Realm</x:v>
      </x:c>
      <x:c r="D135" s="4" t="str">
        <x:v>Encounter visual: EGG HATCHLING</x:v>
      </x:c>
      <x:c r="E135" s="6" t="n">
        <x:v>492</x:v>
      </x:c>
      <x:c r="F135" s="2" t="str">
        <x:v>PortalCreatureV1</x:v>
      </x:c>
      <x:c r="G135" s="4" t="str">
        <x:v>Idle, Walk, Attack, Hurt</x:v>
      </x:c>
      <x:c r="H135" s="2" t="str">
        <x:v>Validated</x:v>
      </x:c>
      <x:c r="I135" s="2" t="str">
        <x:v>Pending</x:v>
      </x:c>
      <x:c r="J135" s="2" t="str">
        <x:v>Binding pending</x:v>
      </x:c>
      <x:c r="K135" s="2" t="str">
        <x:v>portal-buildout/monsters/Mob_Portal_EGG_HATCHLING_T1.glb</x:v>
      </x:c>
      <x:c r="L135" s="2" t="str">
        <x:v>aa8b07955535b8d7947d085f6e4d038934a55cb3b01c4aa8b0957f2c7ff8d359</x:v>
      </x:c>
      <x:c r="M135" s="17" t="n">
        <x:v>1</x:v>
      </x:c>
      <x:c r="N135" s="2" t="str">
        <x:v>n.a.</x:v>
      </x:c>
    </x:row>
    <x:row r="136" ht="38" customHeight="1">
      <x:c r="A136" s="2" t="str">
        <x:v>Mob_Portal_YOUNG_DRAGON_T1</x:v>
      </x:c>
      <x:c r="B136" s="2" t="str">
        <x:v>Character</x:v>
      </x:c>
      <x:c r="C136" s="2" t="str">
        <x:v>Portal Realm</x:v>
      </x:c>
      <x:c r="D136" s="4" t="str">
        <x:v>Encounter visual: YOUNG DRAGON</x:v>
      </x:c>
      <x:c r="E136" s="6" t="n">
        <x:v>492</x:v>
      </x:c>
      <x:c r="F136" s="2" t="str">
        <x:v>PortalCreatureV1</x:v>
      </x:c>
      <x:c r="G136" s="4" t="str">
        <x:v>Idle, Walk, Attack, Hurt</x:v>
      </x:c>
      <x:c r="H136" s="2" t="str">
        <x:v>Validated</x:v>
      </x:c>
      <x:c r="I136" s="2" t="str">
        <x:v>Pending</x:v>
      </x:c>
      <x:c r="J136" s="2" t="str">
        <x:v>Binding pending</x:v>
      </x:c>
      <x:c r="K136" s="2" t="str">
        <x:v>portal-buildout/monsters/Mob_Portal_YOUNG_DRAGON_T1.glb</x:v>
      </x:c>
      <x:c r="L136" s="2" t="str">
        <x:v>48c0950114452f3e3dec44bf07060043f1b052dc8e8550aa7c3e54a759afc44a</x:v>
      </x:c>
      <x:c r="M136" s="17" t="n">
        <x:v>0</x:v>
      </x:c>
      <x:c r="N136" s="2" t="str">
        <x:v>n.a.</x:v>
      </x:c>
    </x:row>
    <x:row r="137" ht="38" customHeight="1">
      <x:c r="A137" s="2" t="str">
        <x:v>Prop_Portal_GrassTile</x:v>
      </x:c>
      <x:c r="B137" s="2" t="str">
        <x:v>Prop</x:v>
      </x:c>
      <x:c r="C137" s="2" t="str">
        <x:v>Portal Realm</x:v>
      </x:c>
      <x:c r="D137" s="4" t="str">
        <x:v>Field tile</x:v>
      </x:c>
      <x:c r="E137" s="6" t="n">
        <x:v>12</x:v>
      </x:c>
      <x:c r="F137" s="2" t="str">
        <x:v>static</x:v>
      </x:c>
      <x:c r="G137" s="4" t="str"/>
      <x:c r="H137" s="2" t="str">
        <x:v>Validated</x:v>
      </x:c>
      <x:c r="I137" s="2" t="str">
        <x:v>Pending</x:v>
      </x:c>
      <x:c r="J137" s="2" t="str">
        <x:v>Binding pending</x:v>
      </x:c>
      <x:c r="K137" s="2" t="str">
        <x:v>portal-buildout/environment/Prop_Portal_GrassTile.glb</x:v>
      </x:c>
      <x:c r="L137" s="2" t="str">
        <x:v>6f8336853b0d584f068ff03813650655343ff6d7e50b36987215f4eb510917e0</x:v>
      </x:c>
      <x:c r="M137" s="17" t="n">
        <x:v>0</x:v>
      </x:c>
      <x:c r="N137" s="2" t="str">
        <x:v>n.a.</x:v>
      </x:c>
    </x:row>
    <x:row r="138" ht="38" customHeight="1">
      <x:c r="A138" s="2" t="str">
        <x:v>Prop_Portal_ForestTile</x:v>
      </x:c>
      <x:c r="B138" s="2" t="str">
        <x:v>Prop</x:v>
      </x:c>
      <x:c r="C138" s="2" t="str">
        <x:v>Portal Realm</x:v>
      </x:c>
      <x:c r="D138" s="4" t="str">
        <x:v>Forest tile marker</x:v>
      </x:c>
      <x:c r="E138" s="6" t="n">
        <x:v>58</x:v>
      </x:c>
      <x:c r="F138" s="2" t="str">
        <x:v>static</x:v>
      </x:c>
      <x:c r="G138" s="4" t="str"/>
      <x:c r="H138" s="2" t="str">
        <x:v>Validated</x:v>
      </x:c>
      <x:c r="I138" s="2" t="str">
        <x:v>Pending</x:v>
      </x:c>
      <x:c r="J138" s="2" t="str">
        <x:v>Binding pending</x:v>
      </x:c>
      <x:c r="K138" s="2" t="str">
        <x:v>portal-buildout/environment/Prop_Portal_ForestTile.glb</x:v>
      </x:c>
      <x:c r="L138" s="2" t="str">
        <x:v>996f0dd4779ba7e00ddbd835a32987e5b99e857fcf29b2edcdeec11bfebe016c</x:v>
      </x:c>
      <x:c r="M138" s="17" t="n">
        <x:v>0</x:v>
      </x:c>
      <x:c r="N138" s="2" t="str">
        <x:v>n.a.</x:v>
      </x:c>
    </x:row>
    <x:row r="139" ht="38" customHeight="1">
      <x:c r="A139" s="2" t="str">
        <x:v>Prop_Portal_MountainTile</x:v>
      </x:c>
      <x:c r="B139" s="2" t="str">
        <x:v>Prop</x:v>
      </x:c>
      <x:c r="C139" s="2" t="str">
        <x:v>Portal Realm</x:v>
      </x:c>
      <x:c r="D139" s="4" t="str">
        <x:v>Impassable terrain marker</x:v>
      </x:c>
      <x:c r="E139" s="6" t="n">
        <x:v>18</x:v>
      </x:c>
      <x:c r="F139" s="2" t="str">
        <x:v>static</x:v>
      </x:c>
      <x:c r="G139" s="4" t="str"/>
      <x:c r="H139" s="2" t="str">
        <x:v>Validated</x:v>
      </x:c>
      <x:c r="I139" s="2" t="str">
        <x:v>Pending</x:v>
      </x:c>
      <x:c r="J139" s="2" t="str">
        <x:v>Binding pending</x:v>
      </x:c>
      <x:c r="K139" s="2" t="str">
        <x:v>portal-buildout/environment/Prop_Portal_MountainTile.glb</x:v>
      </x:c>
      <x:c r="L139" s="2" t="str">
        <x:v>8efbfdb185b5840ce9721909f897ddfd7f5441362f4670e0f6d5817b45492e17</x:v>
      </x:c>
      <x:c r="M139" s="17" t="n">
        <x:v>0</x:v>
      </x:c>
      <x:c r="N139" s="2" t="str">
        <x:v>n.a.</x:v>
      </x:c>
    </x:row>
    <x:row r="140" ht="38" customHeight="1">
      <x:c r="A140" s="2" t="str">
        <x:v>Prop_Portal_WaterTile</x:v>
      </x:c>
      <x:c r="B140" s="2" t="str">
        <x:v>Prop</x:v>
      </x:c>
      <x:c r="C140" s="2" t="str">
        <x:v>Portal Realm</x:v>
      </x:c>
      <x:c r="D140" s="4" t="str">
        <x:v>Water terrain</x:v>
      </x:c>
      <x:c r="E140" s="6" t="n">
        <x:v>12</x:v>
      </x:c>
      <x:c r="F140" s="2" t="str">
        <x:v>static</x:v>
      </x:c>
      <x:c r="G140" s="4" t="str"/>
      <x:c r="H140" s="2" t="str">
        <x:v>Validated</x:v>
      </x:c>
      <x:c r="I140" s="2" t="str">
        <x:v>Pending</x:v>
      </x:c>
      <x:c r="J140" s="2" t="str">
        <x:v>Binding pending</x:v>
      </x:c>
      <x:c r="K140" s="2" t="str">
        <x:v>portal-buildout/environment/Prop_Portal_WaterTile.glb</x:v>
      </x:c>
      <x:c r="L140" s="2" t="str">
        <x:v>59b55570a82887a131d326282948616571e5ed1e6d4a9694fc63de39cce0d361</x:v>
      </x:c>
      <x:c r="M140" s="17" t="n">
        <x:v>0</x:v>
      </x:c>
      <x:c r="N140" s="2" t="str">
        <x:v>n.a.</x:v>
      </x:c>
    </x:row>
    <x:row r="141" ht="38" customHeight="1">
      <x:c r="A141" s="2" t="str">
        <x:v>Prop_Portal_SwampTile</x:v>
      </x:c>
      <x:c r="B141" s="2" t="str">
        <x:v>Prop</x:v>
      </x:c>
      <x:c r="C141" s="2" t="str">
        <x:v>Portal Realm</x:v>
      </x:c>
      <x:c r="D141" s="4" t="str">
        <x:v>Swamp terrain</x:v>
      </x:c>
      <x:c r="E141" s="6" t="n">
        <x:v>12</x:v>
      </x:c>
      <x:c r="F141" s="2" t="str">
        <x:v>static</x:v>
      </x:c>
      <x:c r="G141" s="4" t="str"/>
      <x:c r="H141" s="2" t="str">
        <x:v>Validated</x:v>
      </x:c>
      <x:c r="I141" s="2" t="str">
        <x:v>Pending</x:v>
      </x:c>
      <x:c r="J141" s="2" t="str">
        <x:v>Binding pending</x:v>
      </x:c>
      <x:c r="K141" s="2" t="str">
        <x:v>portal-buildout/environment/Prop_Portal_SwampTile.glb</x:v>
      </x:c>
      <x:c r="L141" s="2" t="str">
        <x:v>a2d3a1dc13ad859b5797935fc881be4154e8f16c3ef7d36d3b9a79b3dfa6d87f</x:v>
      </x:c>
      <x:c r="M141" s="17" t="n">
        <x:v>0</x:v>
      </x:c>
      <x:c r="N141" s="2" t="str">
        <x:v>n.a.</x:v>
      </x:c>
    </x:row>
    <x:row r="142" ht="38" customHeight="1">
      <x:c r="A142" s="2" t="str">
        <x:v>Prop_Portal_SandTile</x:v>
      </x:c>
      <x:c r="B142" s="2" t="str">
        <x:v>Prop</x:v>
      </x:c>
      <x:c r="C142" s="2" t="str">
        <x:v>Portal Realm</x:v>
      </x:c>
      <x:c r="D142" s="4" t="str">
        <x:v>Coastal sand</x:v>
      </x:c>
      <x:c r="E142" s="6" t="n">
        <x:v>12</x:v>
      </x:c>
      <x:c r="F142" s="2" t="str">
        <x:v>static</x:v>
      </x:c>
      <x:c r="G142" s="4" t="str"/>
      <x:c r="H142" s="2" t="str">
        <x:v>Validated</x:v>
      </x:c>
      <x:c r="I142" s="2" t="str">
        <x:v>Pending</x:v>
      </x:c>
      <x:c r="J142" s="2" t="str">
        <x:v>Binding pending</x:v>
      </x:c>
      <x:c r="K142" s="2" t="str">
        <x:v>portal-buildout/environment/Prop_Portal_SandTile.glb</x:v>
      </x:c>
      <x:c r="L142" s="2" t="str">
        <x:v>e65596812ad904cfd51c74a251af27dda7aa597507697df70a78709a1d660bda</x:v>
      </x:c>
      <x:c r="M142" s="17" t="n">
        <x:v>0</x:v>
      </x:c>
      <x:c r="N142" s="2" t="str">
        <x:v>n.a.</x:v>
      </x:c>
    </x:row>
    <x:row r="143" ht="38" customHeight="1">
      <x:c r="A143" s="2" t="str">
        <x:v>Prop_Portal_RoadTile</x:v>
      </x:c>
      <x:c r="B143" s="2" t="str">
        <x:v>Prop</x:v>
      </x:c>
      <x:c r="C143" s="2" t="str">
        <x:v>Portal Realm</x:v>
      </x:c>
      <x:c r="D143" s="4" t="str">
        <x:v>Town approach road</x:v>
      </x:c>
      <x:c r="E143" s="6" t="n">
        <x:v>36</x:v>
      </x:c>
      <x:c r="F143" s="2" t="str">
        <x:v>static</x:v>
      </x:c>
      <x:c r="G143" s="4" t="str"/>
      <x:c r="H143" s="2" t="str">
        <x:v>Validated</x:v>
      </x:c>
      <x:c r="I143" s="2" t="str">
        <x:v>Pending</x:v>
      </x:c>
      <x:c r="J143" s="2" t="str">
        <x:v>Binding pending</x:v>
      </x:c>
      <x:c r="K143" s="2" t="str">
        <x:v>portal-buildout/environment/Prop_Portal_RoadTile.glb</x:v>
      </x:c>
      <x:c r="L143" s="2" t="str">
        <x:v>3495b31d2f2e21048518f7c8a9a07d6f1f0c82b62c5289f1656d2000d1e5b70b</x:v>
      </x:c>
      <x:c r="M143" s="17" t="n">
        <x:v>0</x:v>
      </x:c>
      <x:c r="N143" s="2" t="str">
        <x:v>n.a.</x:v>
      </x:c>
    </x:row>
    <x:row r="144" ht="38" customHeight="1">
      <x:c r="A144" s="2" t="str">
        <x:v>Prop_Portal_TownWall</x:v>
      </x:c>
      <x:c r="B144" s="2" t="str">
        <x:v>Prop</x:v>
      </x:c>
      <x:c r="C144" s="2" t="str">
        <x:v>Portal Realm</x:v>
      </x:c>
      <x:c r="D144" s="4" t="str">
        <x:v>Town facade wall</x:v>
      </x:c>
      <x:c r="E144" s="6" t="n">
        <x:v>176</x:v>
      </x:c>
      <x:c r="F144" s="2" t="str">
        <x:v>static</x:v>
      </x:c>
      <x:c r="G144" s="4" t="str"/>
      <x:c r="H144" s="2" t="str">
        <x:v>Validated</x:v>
      </x:c>
      <x:c r="I144" s="2" t="str">
        <x:v>Pending</x:v>
      </x:c>
      <x:c r="J144" s="2" t="str">
        <x:v>Binding pending</x:v>
      </x:c>
      <x:c r="K144" s="2" t="str">
        <x:v>portal-buildout/environment/Prop_Portal_TownWall.glb</x:v>
      </x:c>
      <x:c r="L144" s="2" t="str">
        <x:v>05ede65672ba51d06b8b09dfab2a8dc8c5f9627687f3fc7c03a9992e00e4f302</x:v>
      </x:c>
      <x:c r="M144" s="17" t="n">
        <x:v>0</x:v>
      </x:c>
      <x:c r="N144" s="2" t="str">
        <x:v>n.a.</x:v>
      </x:c>
    </x:row>
    <x:row r="145" ht="38" customHeight="1">
      <x:c r="A145" s="2" t="str">
        <x:v>Prop_Portal_TownDoor</x:v>
      </x:c>
      <x:c r="B145" s="2" t="str">
        <x:v>Prop</x:v>
      </x:c>
      <x:c r="C145" s="2" t="str">
        <x:v>Portal Realm</x:v>
      </x:c>
      <x:c r="D145" s="4" t="str">
        <x:v>Building entry frame</x:v>
      </x:c>
      <x:c r="E145" s="6" t="n">
        <x:v>132</x:v>
      </x:c>
      <x:c r="F145" s="2" t="str">
        <x:v>static</x:v>
      </x:c>
      <x:c r="G145" s="4" t="str"/>
      <x:c r="H145" s="2" t="str">
        <x:v>Validated</x:v>
      </x:c>
      <x:c r="I145" s="2" t="str">
        <x:v>Pending</x:v>
      </x:c>
      <x:c r="J145" s="2" t="str">
        <x:v>Binding pending</x:v>
      </x:c>
      <x:c r="K145" s="2" t="str">
        <x:v>portal-buildout/environment/Prop_Portal_TownDoor.glb</x:v>
      </x:c>
      <x:c r="L145" s="2" t="str">
        <x:v>942d45812ca13827c3bb803a3f64880de37282396897b7ea5ee4ddbe880ef539</x:v>
      </x:c>
      <x:c r="M145" s="17" t="n">
        <x:v>0</x:v>
      </x:c>
      <x:c r="N145" s="2" t="str">
        <x:v>n.a.</x:v>
      </x:c>
    </x:row>
    <x:row r="146" ht="38" customHeight="1">
      <x:c r="A146" s="2" t="str">
        <x:v>Prop_Portal_ShopCounter</x:v>
      </x:c>
      <x:c r="B146" s="2" t="str">
        <x:v>Prop</x:v>
      </x:c>
      <x:c r="C146" s="2" t="str">
        <x:v>Portal Realm</x:v>
      </x:c>
      <x:c r="D146" s="4" t="str">
        <x:v>Shop interaction station</x:v>
      </x:c>
      <x:c r="E146" s="6" t="n">
        <x:v>88</x:v>
      </x:c>
      <x:c r="F146" s="2" t="str">
        <x:v>static</x:v>
      </x:c>
      <x:c r="G146" s="4" t="str"/>
      <x:c r="H146" s="2" t="str">
        <x:v>Validated</x:v>
      </x:c>
      <x:c r="I146" s="2" t="str">
        <x:v>Pending</x:v>
      </x:c>
      <x:c r="J146" s="2" t="str">
        <x:v>Binding pending</x:v>
      </x:c>
      <x:c r="K146" s="2" t="str">
        <x:v>portal-buildout/environment/Prop_Portal_ShopCounter.glb</x:v>
      </x:c>
      <x:c r="L146" s="2" t="str">
        <x:v>04201af4e2acfdf68be81d71e90b12dcfd414f6cdc93ae77a2e9be0b30ac6bee</x:v>
      </x:c>
      <x:c r="M146" s="17" t="n">
        <x:v>0</x:v>
      </x:c>
      <x:c r="N146" s="2" t="str">
        <x:v>n.a.</x:v>
      </x:c>
    </x:row>
    <x:row r="147" ht="38" customHeight="1">
      <x:c r="A147" s="2" t="str">
        <x:v>Prop_Portal_InnBed</x:v>
      </x:c>
      <x:c r="B147" s="2" t="str">
        <x:v>Prop</x:v>
      </x:c>
      <x:c r="C147" s="2" t="str">
        <x:v>Portal Realm</x:v>
      </x:c>
      <x:c r="D147" s="4" t="str">
        <x:v>Inn rest presentation</x:v>
      </x:c>
      <x:c r="E147" s="6" t="n">
        <x:v>176</x:v>
      </x:c>
      <x:c r="F147" s="2" t="str">
        <x:v>static</x:v>
      </x:c>
      <x:c r="G147" s="4" t="str"/>
      <x:c r="H147" s="2" t="str">
        <x:v>Validated</x:v>
      </x:c>
      <x:c r="I147" s="2" t="str">
        <x:v>Pending</x:v>
      </x:c>
      <x:c r="J147" s="2" t="str">
        <x:v>Binding pending</x:v>
      </x:c>
      <x:c r="K147" s="2" t="str">
        <x:v>portal-buildout/environment/Prop_Portal_InnBed.glb</x:v>
      </x:c>
      <x:c r="L147" s="2" t="str">
        <x:v>43745b719b4068cdfc9aec3a6aff35d77484292c42162bd196f74f683ab51684</x:v>
      </x:c>
      <x:c r="M147" s="17" t="n">
        <x:v>0</x:v>
      </x:c>
      <x:c r="N147" s="2" t="str">
        <x:v>n.a.</x:v>
      </x:c>
    </x:row>
    <x:row r="148" ht="38" customHeight="1">
      <x:c r="A148" s="2" t="str">
        <x:v>Prop_Portal_SmithAnvil</x:v>
      </x:c>
      <x:c r="B148" s="2" t="str">
        <x:v>Prop</x:v>
      </x:c>
      <x:c r="C148" s="2" t="str">
        <x:v>Portal Realm</x:v>
      </x:c>
      <x:c r="D148" s="4" t="str">
        <x:v>Equipment upgrade station</x:v>
      </x:c>
      <x:c r="E148" s="6" t="n">
        <x:v>132</x:v>
      </x:c>
      <x:c r="F148" s="2" t="str">
        <x:v>static</x:v>
      </x:c>
      <x:c r="G148" s="4" t="str"/>
      <x:c r="H148" s="2" t="str">
        <x:v>Validated</x:v>
      </x:c>
      <x:c r="I148" s="2" t="str">
        <x:v>Pending</x:v>
      </x:c>
      <x:c r="J148" s="2" t="str">
        <x:v>Binding pending</x:v>
      </x:c>
      <x:c r="K148" s="2" t="str">
        <x:v>portal-buildout/environment/Prop_Portal_SmithAnvil.glb</x:v>
      </x:c>
      <x:c r="L148" s="2" t="str">
        <x:v>1252d8e333c241f22dd2f921ccf59f6799eb1c1c7e9b0d9d09c0635a198d4483</x:v>
      </x:c>
      <x:c r="M148" s="17" t="n">
        <x:v>0</x:v>
      </x:c>
      <x:c r="N148" s="2" t="str">
        <x:v>n.a.</x:v>
      </x:c>
    </x:row>
    <x:row r="149" ht="38" customHeight="1">
      <x:c r="A149" s="2" t="str">
        <x:v>Prop_Portal_CastleWall</x:v>
      </x:c>
      <x:c r="B149" s="2" t="str">
        <x:v>Prop</x:v>
      </x:c>
      <x:c r="C149" s="2" t="str">
        <x:v>Portal Realm</x:v>
      </x:c>
      <x:c r="D149" s="4" t="str">
        <x:v>Castle boundary</x:v>
      </x:c>
      <x:c r="E149" s="6" t="n">
        <x:v>220</x:v>
      </x:c>
      <x:c r="F149" s="2" t="str">
        <x:v>static</x:v>
      </x:c>
      <x:c r="G149" s="4" t="str"/>
      <x:c r="H149" s="2" t="str">
        <x:v>Validated</x:v>
      </x:c>
      <x:c r="I149" s="2" t="str">
        <x:v>Pending</x:v>
      </x:c>
      <x:c r="J149" s="2" t="str">
        <x:v>Binding pending</x:v>
      </x:c>
      <x:c r="K149" s="2" t="str">
        <x:v>portal-buildout/environment/Prop_Portal_CastleWall.glb</x:v>
      </x:c>
      <x:c r="L149" s="2" t="str">
        <x:v>183dfe50b71eaeef7a91f54860a8f98578d26a9f3e25c2e9c5dae9b5c20e8830</x:v>
      </x:c>
      <x:c r="M149" s="17" t="n">
        <x:v>0</x:v>
      </x:c>
      <x:c r="N149" s="2" t="str">
        <x:v>n.a.</x:v>
      </x:c>
    </x:row>
    <x:row r="150" ht="38" customHeight="1">
      <x:c r="A150" s="2" t="str">
        <x:v>Prop_Portal_CastleGate</x:v>
      </x:c>
      <x:c r="B150" s="2" t="str">
        <x:v>Prop</x:v>
      </x:c>
      <x:c r="C150" s="2" t="str">
        <x:v>Portal Realm</x:v>
      </x:c>
      <x:c r="D150" s="4" t="str">
        <x:v>Castle entry frame</x:v>
      </x:c>
      <x:c r="E150" s="6" t="n">
        <x:v>132</x:v>
      </x:c>
      <x:c r="F150" s="2" t="str">
        <x:v>static</x:v>
      </x:c>
      <x:c r="G150" s="4" t="str"/>
      <x:c r="H150" s="2" t="str">
        <x:v>Validated</x:v>
      </x:c>
      <x:c r="I150" s="2" t="str">
        <x:v>Pending</x:v>
      </x:c>
      <x:c r="J150" s="2" t="str">
        <x:v>Binding pending</x:v>
      </x:c>
      <x:c r="K150" s="2" t="str">
        <x:v>portal-buildout/environment/Prop_Portal_CastleGate.glb</x:v>
      </x:c>
      <x:c r="L150" s="2" t="str">
        <x:v>23702e5fd27808d007621da67648db385c943189b5cda64d3f53ef5a015929fa</x:v>
      </x:c>
      <x:c r="M150" s="17" t="n">
        <x:v>0</x:v>
      </x:c>
      <x:c r="N150" s="2" t="str">
        <x:v>n.a.</x:v>
      </x:c>
    </x:row>
    <x:row r="151" ht="38" customHeight="1">
      <x:c r="A151" s="2" t="str">
        <x:v>Prop_Portal_Throne</x:v>
      </x:c>
      <x:c r="B151" s="2" t="str">
        <x:v>Prop</x:v>
      </x:c>
      <x:c r="C151" s="2" t="str">
        <x:v>Portal Realm</x:v>
      </x:c>
      <x:c r="D151" s="4" t="str">
        <x:v>Queen quest presentation</x:v>
      </x:c>
      <x:c r="E151" s="6" t="n">
        <x:v>182</x:v>
      </x:c>
      <x:c r="F151" s="2" t="str">
        <x:v>static</x:v>
      </x:c>
      <x:c r="G151" s="4" t="str"/>
      <x:c r="H151" s="2" t="str">
        <x:v>Validated</x:v>
      </x:c>
      <x:c r="I151" s="2" t="str">
        <x:v>Pending</x:v>
      </x:c>
      <x:c r="J151" s="2" t="str">
        <x:v>Binding pending</x:v>
      </x:c>
      <x:c r="K151" s="2" t="str">
        <x:v>portal-buildout/environment/Prop_Portal_Throne.glb</x:v>
      </x:c>
      <x:c r="L151" s="2" t="str">
        <x:v>acc1da585d00c34e40937322ad86a37548abc5e0575e51a1bb29be779af09873</x:v>
      </x:c>
      <x:c r="M151" s="17" t="n">
        <x:v>0</x:v>
      </x:c>
      <x:c r="N151" s="2" t="str">
        <x:v>n.a.</x:v>
      </x:c>
    </x:row>
    <x:row r="152" ht="38" customHeight="1">
      <x:c r="A152" s="2" t="str">
        <x:v>Prop_Portal_CaveWall</x:v>
      </x:c>
      <x:c r="B152" s="2" t="str">
        <x:v>Prop</x:v>
      </x:c>
      <x:c r="C152" s="2" t="str">
        <x:v>Portal Realm</x:v>
      </x:c>
      <x:c r="D152" s="4" t="str">
        <x:v>Dungeon boundary</x:v>
      </x:c>
      <x:c r="E152" s="6" t="n">
        <x:v>60</x:v>
      </x:c>
      <x:c r="F152" s="2" t="str">
        <x:v>static</x:v>
      </x:c>
      <x:c r="G152" s="4" t="str"/>
      <x:c r="H152" s="2" t="str">
        <x:v>Validated</x:v>
      </x:c>
      <x:c r="I152" s="2" t="str">
        <x:v>Pending</x:v>
      </x:c>
      <x:c r="J152" s="2" t="str">
        <x:v>Binding pending</x:v>
      </x:c>
      <x:c r="K152" s="2" t="str">
        <x:v>portal-buildout/environment/Prop_Portal_CaveWall.glb</x:v>
      </x:c>
      <x:c r="L152" s="2" t="str">
        <x:v>76ebe459cee7719eae3879230388fd583c9a6876efa23a59df53358eab6dc48a</x:v>
      </x:c>
      <x:c r="M152" s="17" t="n">
        <x:v>0</x:v>
      </x:c>
      <x:c r="N152" s="2" t="str">
        <x:v>n.a.</x:v>
      </x:c>
    </x:row>
    <x:row r="153" ht="38" customHeight="1">
      <x:c r="A153" s="2" t="str">
        <x:v>Prop_Portal_CaveFloor</x:v>
      </x:c>
      <x:c r="B153" s="2" t="str">
        <x:v>Prop</x:v>
      </x:c>
      <x:c r="C153" s="2" t="str">
        <x:v>Portal Realm</x:v>
      </x:c>
      <x:c r="D153" s="4" t="str">
        <x:v>Dungeon tile</x:v>
      </x:c>
      <x:c r="E153" s="6" t="n">
        <x:v>12</x:v>
      </x:c>
      <x:c r="F153" s="2" t="str">
        <x:v>static</x:v>
      </x:c>
      <x:c r="G153" s="4" t="str"/>
      <x:c r="H153" s="2" t="str">
        <x:v>Validated</x:v>
      </x:c>
      <x:c r="I153" s="2" t="str">
        <x:v>Pending</x:v>
      </x:c>
      <x:c r="J153" s="2" t="str">
        <x:v>Binding pending</x:v>
      </x:c>
      <x:c r="K153" s="2" t="str">
        <x:v>portal-buildout/environment/Prop_Portal_CaveFloor.glb</x:v>
      </x:c>
      <x:c r="L153" s="2" t="str">
        <x:v>f265a61068a7a46bd9a746e408d259243f9c7a7fb7f1db14ba39011b8697273a</x:v>
      </x:c>
      <x:c r="M153" s="17" t="n">
        <x:v>0</x:v>
      </x:c>
      <x:c r="N153" s="2" t="str">
        <x:v>n.a.</x:v>
      </x:c>
    </x:row>
    <x:row r="154" ht="38" customHeight="1">
      <x:c r="A154" s="2" t="str">
        <x:v>Prop_Portal_StairsDown</x:v>
      </x:c>
      <x:c r="B154" s="2" t="str">
        <x:v>Prop</x:v>
      </x:c>
      <x:c r="C154" s="2" t="str">
        <x:v>Portal Realm</x:v>
      </x:c>
      <x:c r="D154" s="4" t="str">
        <x:v>Dungeon depth transition</x:v>
      </x:c>
      <x:c r="E154" s="6" t="n">
        <x:v>60</x:v>
      </x:c>
      <x:c r="F154" s="2" t="str">
        <x:v>static</x:v>
      </x:c>
      <x:c r="G154" s="4" t="str"/>
      <x:c r="H154" s="2" t="str">
        <x:v>Validated</x:v>
      </x:c>
      <x:c r="I154" s="2" t="str">
        <x:v>Pending</x:v>
      </x:c>
      <x:c r="J154" s="2" t="str">
        <x:v>Binding pending</x:v>
      </x:c>
      <x:c r="K154" s="2" t="str">
        <x:v>portal-buildout/environment/Prop_Portal_StairsDown.glb</x:v>
      </x:c>
      <x:c r="L154" s="2" t="str">
        <x:v>0631eea6b63f09c26606ee147866cb9b5875c75c086a711af4d35516440962b9</x:v>
      </x:c>
      <x:c r="M154" s="17" t="n">
        <x:v>0</x:v>
      </x:c>
      <x:c r="N154" s="2" t="str">
        <x:v>n.a.</x:v>
      </x:c>
    </x:row>
    <x:row r="155" ht="38" customHeight="1">
      <x:c r="A155" s="2" t="str">
        <x:v>Prop_Portal_KeyChest</x:v>
      </x:c>
      <x:c r="B155" s="2" t="str">
        <x:v>Prop</x:v>
      </x:c>
      <x:c r="C155" s="2" t="str">
        <x:v>Portal Realm</x:v>
      </x:c>
      <x:c r="D155" s="4" t="str">
        <x:v>Existing depth loot/key presentation</x:v>
      </x:c>
      <x:c r="E155" s="6" t="n">
        <x:v>132</x:v>
      </x:c>
      <x:c r="F155" s="2" t="str">
        <x:v>static</x:v>
      </x:c>
      <x:c r="G155" s="4" t="str"/>
      <x:c r="H155" s="2" t="str">
        <x:v>Validated</x:v>
      </x:c>
      <x:c r="I155" s="2" t="str">
        <x:v>Pending</x:v>
      </x:c>
      <x:c r="J155" s="2" t="str">
        <x:v>Binding pending</x:v>
      </x:c>
      <x:c r="K155" s="2" t="str">
        <x:v>portal-buildout/environment/Prop_Portal_KeyChest.glb</x:v>
      </x:c>
      <x:c r="L155" s="2" t="str">
        <x:v>6a188aabd9fd110c07cc9ea17b4e1c97e3e28dee6ab550520976b19f0d74545a</x:v>
      </x:c>
      <x:c r="M155" s="17" t="n">
        <x:v>0</x:v>
      </x:c>
      <x:c r="N155" s="2" t="str">
        <x:v>n.a.</x:v>
      </x:c>
    </x:row>
    <x:row r="156" ht="38" customHeight="1">
      <x:c r="A156" s="2" t="str">
        <x:v>Prop_Portal_BronzeGate</x:v>
      </x:c>
      <x:c r="B156" s="2" t="str">
        <x:v>Prop</x:v>
      </x:c>
      <x:c r="C156" s="2" t="str">
        <x:v>Portal Realm</x:v>
      </x:c>
      <x:c r="D156" s="4" t="str">
        <x:v>Bronze lock presentation</x:v>
      </x:c>
      <x:c r="E156" s="6" t="n">
        <x:v>352</x:v>
      </x:c>
      <x:c r="F156" s="2" t="str">
        <x:v>static</x:v>
      </x:c>
      <x:c r="G156" s="4" t="str"/>
      <x:c r="H156" s="2" t="str">
        <x:v>Validated</x:v>
      </x:c>
      <x:c r="I156" s="2" t="str">
        <x:v>Pending</x:v>
      </x:c>
      <x:c r="J156" s="2" t="str">
        <x:v>Binding pending</x:v>
      </x:c>
      <x:c r="K156" s="2" t="str">
        <x:v>portal-buildout/environment/Prop_Portal_BronzeGate.glb</x:v>
      </x:c>
      <x:c r="L156" s="2" t="str">
        <x:v>7e0b48f37772bc4941d2af0d2e93da673960bbd490213570710804bf3162b3b3</x:v>
      </x:c>
      <x:c r="M156" s="17" t="n">
        <x:v>0</x:v>
      </x:c>
      <x:c r="N156" s="2" t="str">
        <x:v>n.a.</x:v>
      </x:c>
    </x:row>
    <x:row r="157" ht="38" customHeight="1">
      <x:c r="A157" s="2" t="str">
        <x:v>Prop_Portal_SilverGate</x:v>
      </x:c>
      <x:c r="B157" s="2" t="str">
        <x:v>Prop</x:v>
      </x:c>
      <x:c r="C157" s="2" t="str">
        <x:v>Portal Realm</x:v>
      </x:c>
      <x:c r="D157" s="4" t="str">
        <x:v>Silver lock presentation</x:v>
      </x:c>
      <x:c r="E157" s="6" t="n">
        <x:v>352</x:v>
      </x:c>
      <x:c r="F157" s="2" t="str">
        <x:v>static</x:v>
      </x:c>
      <x:c r="G157" s="4" t="str"/>
      <x:c r="H157" s="2" t="str">
        <x:v>Validated</x:v>
      </x:c>
      <x:c r="I157" s="2" t="str">
        <x:v>Pending</x:v>
      </x:c>
      <x:c r="J157" s="2" t="str">
        <x:v>Binding pending</x:v>
      </x:c>
      <x:c r="K157" s="2" t="str">
        <x:v>portal-buildout/environment/Prop_Portal_SilverGate.glb</x:v>
      </x:c>
      <x:c r="L157" s="2" t="str">
        <x:v>df1463860908a11d182acf7d557dc2eba2ebc43ec5a4f1524df6dc9051491240</x:v>
      </x:c>
      <x:c r="M157" s="17" t="n">
        <x:v>0</x:v>
      </x:c>
      <x:c r="N157" s="2" t="str">
        <x:v>n.a.</x:v>
      </x:c>
    </x:row>
    <x:row r="158" ht="38" customHeight="1">
      <x:c r="A158" s="2" t="str">
        <x:v>Prop_Portal_StarGate</x:v>
      </x:c>
      <x:c r="B158" s="2" t="str">
        <x:v>Prop</x:v>
      </x:c>
      <x:c r="C158" s="2" t="str">
        <x:v>Portal Realm</x:v>
      </x:c>
      <x:c r="D158" s="4" t="str">
        <x:v>Star lock presentation</x:v>
      </x:c>
      <x:c r="E158" s="6" t="n">
        <x:v>352</x:v>
      </x:c>
      <x:c r="F158" s="2" t="str">
        <x:v>static</x:v>
      </x:c>
      <x:c r="G158" s="4" t="str"/>
      <x:c r="H158" s="2" t="str">
        <x:v>Validated</x:v>
      </x:c>
      <x:c r="I158" s="2" t="str">
        <x:v>Pending</x:v>
      </x:c>
      <x:c r="J158" s="2" t="str">
        <x:v>Binding pending</x:v>
      </x:c>
      <x:c r="K158" s="2" t="str">
        <x:v>portal-buildout/environment/Prop_Portal_StarGate.glb</x:v>
      </x:c>
      <x:c r="L158" s="2" t="str">
        <x:v>fbb64055f33b84550705388db37a621d8af7913734b5d99b0db86347e034ed65</x:v>
      </x:c>
      <x:c r="M158" s="17" t="n">
        <x:v>0</x:v>
      </x:c>
      <x:c r="N158" s="2" t="str">
        <x:v>n.a.</x:v>
      </x:c>
    </x:row>
    <x:row r="159" ht="38" customHeight="1">
      <x:c r="A159" s="2" t="str">
        <x:v>Prop_Portal_PortalArch</x:v>
      </x:c>
      <x:c r="B159" s="2" t="str">
        <x:v>Prop</x:v>
      </x:c>
      <x:c r="C159" s="2" t="str">
        <x:v>Portal Realm</x:v>
      </x:c>
      <x:c r="D159" s="4" t="str">
        <x:v>Discovered rainbow entry presentation</x:v>
      </x:c>
      <x:c r="E159" s="6" t="n">
        <x:v>150</x:v>
      </x:c>
      <x:c r="F159" s="2" t="str">
        <x:v>static</x:v>
      </x:c>
      <x:c r="G159" s="4" t="str"/>
      <x:c r="H159" s="2" t="str">
        <x:v>Validated</x:v>
      </x:c>
      <x:c r="I159" s="2" t="str">
        <x:v>Pending</x:v>
      </x:c>
      <x:c r="J159" s="2" t="str">
        <x:v>Binding pending</x:v>
      </x:c>
      <x:c r="K159" s="2" t="str">
        <x:v>portal-buildout/environment/Prop_Portal_PortalArch.glb</x:v>
      </x:c>
      <x:c r="L159" s="2" t="str">
        <x:v>8f197fc058300feb339cecfeed2a317665ad56c6bb14d360e0746f1f85b2844a</x:v>
      </x:c>
      <x:c r="M159" s="17" t="n">
        <x:v>0</x:v>
      </x:c>
      <x:c r="N159" s="2" t="str">
        <x:v>n.a.</x:v>
      </x:c>
    </x:row>
    <x:row r="160" ht="38" customHeight="1">
      <x:c r="A160" s="2" t="str">
        <x:v>Prop_Portal_DragonEggNest</x:v>
      </x:c>
      <x:c r="B160" s="2" t="str">
        <x:v>Prop</x:v>
      </x:c>
      <x:c r="C160" s="2" t="str">
        <x:v>Portal Realm</x:v>
      </x:c>
      <x:c r="D160" s="4" t="str">
        <x:v>Land-included egg presentation</x:v>
      </x:c>
      <x:c r="E160" s="6" t="n">
        <x:v>236</x:v>
      </x:c>
      <x:c r="F160" s="2" t="str">
        <x:v>static</x:v>
      </x:c>
      <x:c r="G160" s="4" t="str"/>
      <x:c r="H160" s="2" t="str">
        <x:v>Validated</x:v>
      </x:c>
      <x:c r="I160" s="2" t="str">
        <x:v>Pending</x:v>
      </x:c>
      <x:c r="J160" s="2" t="str">
        <x:v>Binding pending</x:v>
      </x:c>
      <x:c r="K160" s="2" t="str">
        <x:v>portal-buildout/environment/Prop_Portal_DragonEggNest.glb</x:v>
      </x:c>
      <x:c r="L160" s="2" t="str">
        <x:v>7a6c2c8ce88796e7c4c50e83c8540b06a4b426c53542ae8d477001ad161a5299</x:v>
      </x:c>
      <x:c r="M160" s="17" t="n">
        <x:v>0</x:v>
      </x:c>
      <x:c r="N160" s="2" t="str">
        <x:v>n.a.</x:v>
      </x:c>
    </x:row>
    <x:row r="161" ht="38" customHeight="1">
      <x:c r="A161" s="2" t="str">
        <x:v>Prop_Portal_StagePlatform</x:v>
      </x:c>
      <x:c r="B161" s="2" t="str">
        <x:v>Prop</x:v>
      </x:c>
      <x:c r="C161" s="2" t="str">
        <x:v>Portal Realm</x:v>
      </x:c>
      <x:c r="D161" s="4" t="str">
        <x:v>Touring jukebox/concert staging</x:v>
      </x:c>
      <x:c r="E161" s="6" t="n">
        <x:v>176</x:v>
      </x:c>
      <x:c r="F161" s="2" t="str">
        <x:v>static</x:v>
      </x:c>
      <x:c r="G161" s="4" t="str"/>
      <x:c r="H161" s="2" t="str">
        <x:v>Validated</x:v>
      </x:c>
      <x:c r="I161" s="2" t="str">
        <x:v>Pending</x:v>
      </x:c>
      <x:c r="J161" s="2" t="str">
        <x:v>Binding pending</x:v>
      </x:c>
      <x:c r="K161" s="2" t="str">
        <x:v>portal-buildout/environment/Prop_Portal_StagePlatform.glb</x:v>
      </x:c>
      <x:c r="L161" s="2" t="str">
        <x:v>17cda789ff2c57d1341806980c8894c7e1be52e1f9d94e57dd7d6c80511265b2</x:v>
      </x:c>
      <x:c r="M161" s="17" t="n">
        <x:v>0</x:v>
      </x:c>
      <x:c r="N161" s="2" t="str">
        <x:v>n.a.</x:v>
      </x:c>
    </x:row>
    <x:row r="162" ht="38" customHeight="1">
      <x:c r="A162" s="2" t="str">
        <x:v>Item_Portal_DragonEggIntact</x:v>
      </x:c>
      <x:c r="B162" s="2" t="str">
        <x:v>Item</x:v>
      </x:c>
      <x:c r="C162" s="2" t="str">
        <x:v>Portal Realm</x:v>
      </x:c>
      <x:c r="D162" s="4" t="str">
        <x:v>Egg state: intact</x:v>
      </x:c>
      <x:c r="E162" s="6" t="n">
        <x:v>252</x:v>
      </x:c>
      <x:c r="F162" s="2" t="str">
        <x:v>static</x:v>
      </x:c>
      <x:c r="G162" s="4" t="str"/>
      <x:c r="H162" s="2" t="str">
        <x:v>Validated</x:v>
      </x:c>
      <x:c r="I162" s="2" t="str">
        <x:v>Pending</x:v>
      </x:c>
      <x:c r="J162" s="2" t="str">
        <x:v>Binding pending</x:v>
      </x:c>
      <x:c r="K162" s="2" t="str">
        <x:v>portal-buildout/environment/Item_Portal_DragonEggIntact.glb</x:v>
      </x:c>
      <x:c r="L162" s="2" t="str">
        <x:v>14fcd569d56fcef903c136b4a99faa6cda6721b16e56ee2f4da588f51331d59e</x:v>
      </x:c>
      <x:c r="M162" s="17" t="n">
        <x:v>0</x:v>
      </x:c>
      <x:c r="N162" s="2" t="str">
        <x:v>n.a.</x:v>
      </x:c>
    </x:row>
    <x:row r="163" ht="38" customHeight="1">
      <x:c r="A163" s="2" t="str">
        <x:v>Item_Portal_DragonEggCracked</x:v>
      </x:c>
      <x:c r="B163" s="2" t="str">
        <x:v>Item</x:v>
      </x:c>
      <x:c r="C163" s="2" t="str">
        <x:v>Portal Realm</x:v>
      </x:c>
      <x:c r="D163" s="4" t="str">
        <x:v>Egg state: cracked</x:v>
      </x:c>
      <x:c r="E163" s="6" t="n">
        <x:v>300</x:v>
      </x:c>
      <x:c r="F163" s="2" t="str">
        <x:v>static</x:v>
      </x:c>
      <x:c r="G163" s="4" t="str"/>
      <x:c r="H163" s="2" t="str">
        <x:v>Validated</x:v>
      </x:c>
      <x:c r="I163" s="2" t="str">
        <x:v>Pending</x:v>
      </x:c>
      <x:c r="J163" s="2" t="str">
        <x:v>Binding pending</x:v>
      </x:c>
      <x:c r="K163" s="2" t="str">
        <x:v>portal-buildout/environment/Item_Portal_DragonEggCracked.glb</x:v>
      </x:c>
      <x:c r="L163" s="2" t="str">
        <x:v>545c0122a417642d6c492e96b6a67b94108c91663b33e34540ec5bd6cafea69b</x:v>
      </x:c>
      <x:c r="M163" s="17" t="n">
        <x:v>0</x:v>
      </x:c>
      <x:c r="N163" s="2" t="str">
        <x:v>n.a.</x:v>
      </x:c>
    </x:row>
    <x:row r="164" ht="38" customHeight="1">
      <x:c r="A164" s="1" t="str">
        <x:v>Mob_Gallery_Sketcher</x:v>
      </x:c>
      <x:c r="B164" s="1" t="str">
        <x:v>Character</x:v>
      </x:c>
      <x:c r="C164" s="1" t="str">
        <x:v>Gallery City</x:v>
      </x:c>
      <x:c r="D164" s="5" t="str">
        <x:v>Hero brush and palette</x:v>
      </x:c>
      <x:c r="E164" s="7" t="n">
        <x:v>1040</x:v>
      </x:c>
      <x:c r="F164" s="1" t="str">
        <x:v>GalleryHumanoidV1</x:v>
      </x:c>
      <x:c r="G164" s="5" t="str">
        <x:v>Idle, Walk, Attack, Hurt</x:v>
      </x:c>
      <x:c r="H164" s="1" t="str">
        <x:v>Validated</x:v>
      </x:c>
      <x:c r="I164" s="1" t="str">
        <x:v>Pending</x:v>
      </x:c>
      <x:c r="J164" s="1" t="str">
        <x:v>Binding pending</x:v>
      </x:c>
      <x:c r="K164" s="1" t="str">
        <x:v>gallery-buildout/cast/Mob_Gallery_Sketcher.glb</x:v>
      </x:c>
      <x:c r="L164" s="1" t="str">
        <x:v>1792bb1f054ecaf3a277be125184bdfe01b1c6fa7a265ab886691ff480cb065b</x:v>
      </x:c>
      <x:c r="M164" s="16" t="n">
        <x:v>1</x:v>
      </x:c>
      <x:c r="N164" s="1" t="str">
        <x:v>n.a.</x:v>
      </x:c>
      <x:c r="O164" s="1" t="str">
        <x:v>n.a.</x:v>
      </x:c>
      <x:c r="P164" s="1" t="n">
        <x:v>0</x:v>
      </x:c>
    </x:row>
    <x:row r="165" ht="38" customHeight="1">
      <x:c r="A165" s="1" t="str">
        <x:v>Mob_Gallery_CuratorVell</x:v>
      </x:c>
      <x:c r="B165" s="1" t="str">
        <x:v>Character</x:v>
      </x:c>
      <x:c r="C165" s="1" t="str">
        <x:v>Gallery City</x:v>
      </x:c>
      <x:c r="D165" s="5" t="str">
        <x:v>Gallery quest presentation</x:v>
      </x:c>
      <x:c r="E165" s="7" t="n">
        <x:v>1408</x:v>
      </x:c>
      <x:c r="F165" s="1" t="str">
        <x:v>GalleryHumanoidV1</x:v>
      </x:c>
      <x:c r="G165" s="5" t="str">
        <x:v>Idle, Walk, Attack, Hurt</x:v>
      </x:c>
      <x:c r="H165" s="1" t="str">
        <x:v>Validated</x:v>
      </x:c>
      <x:c r="I165" s="1" t="str">
        <x:v>Pending</x:v>
      </x:c>
      <x:c r="J165" s="1" t="str">
        <x:v>Binding pending</x:v>
      </x:c>
      <x:c r="K165" s="1" t="str">
        <x:v>gallery-buildout/cast/Mob_Gallery_CuratorVell.glb</x:v>
      </x:c>
      <x:c r="L165" s="1" t="str">
        <x:v>26655f7f6a3722d583b65d90fb37485a7ff3176621ecdf6f8a5b53f4f5b9666a</x:v>
      </x:c>
      <x:c r="M165" s="16" t="n">
        <x:v>1</x:v>
      </x:c>
      <x:c r="N165" s="1" t="str">
        <x:v>n.a.</x:v>
      </x:c>
      <x:c r="O165" s="1" t="str">
        <x:v>n.a.</x:v>
      </x:c>
      <x:c r="P165" s="1" t="n">
        <x:v>0</x:v>
      </x:c>
    </x:row>
    <x:row r="166" ht="38" customHeight="1">
      <x:c r="A166" s="1" t="str">
        <x:v>Mob_Gallery_FrameHangerTwins</x:v>
      </x:c>
      <x:c r="B166" s="1" t="str">
        <x:v>Character</x:v>
      </x:c>
      <x:c r="C166" s="1" t="str">
        <x:v>Gallery City</x:v>
      </x:c>
      <x:c r="D166" s="5" t="str">
        <x:v>Frame pulley crew role</x:v>
      </x:c>
      <x:c r="E166" s="7" t="n">
        <x:v>1120</x:v>
      </x:c>
      <x:c r="F166" s="1" t="str">
        <x:v>GalleryHumanoidV1</x:v>
      </x:c>
      <x:c r="G166" s="5" t="str">
        <x:v>Idle, Walk, Attack, Hurt</x:v>
      </x:c>
      <x:c r="H166" s="1" t="str">
        <x:v>Validated</x:v>
      </x:c>
      <x:c r="I166" s="1" t="str">
        <x:v>Pending</x:v>
      </x:c>
      <x:c r="J166" s="1" t="str">
        <x:v>Binding pending</x:v>
      </x:c>
      <x:c r="K166" s="1" t="str">
        <x:v>gallery-buildout/cast/Mob_Gallery_FrameHangerTwins.glb</x:v>
      </x:c>
      <x:c r="L166" s="1" t="str">
        <x:v>9c4baea7ba6e8ca2a327da95a4181f9b4d42ce28a77787859e93fab8ade539ac</x:v>
      </x:c>
      <x:c r="M166" s="16" t="n">
        <x:v>1</x:v>
      </x:c>
      <x:c r="N166" s="1" t="str">
        <x:v>n.a.</x:v>
      </x:c>
      <x:c r="O166" s="1" t="str">
        <x:v>n.a.</x:v>
      </x:c>
      <x:c r="P166" s="1" t="n">
        <x:v>0</x:v>
      </x:c>
    </x:row>
    <x:row r="167" ht="38" customHeight="1">
      <x:c r="A167" s="1" t="str">
        <x:v>Mob_Gallery_VarnishMonk</x:v>
      </x:c>
      <x:c r="B167" s="1" t="str">
        <x:v>Character</x:v>
      </x:c>
      <x:c r="C167" s="1" t="str">
        <x:v>Gallery City</x:v>
      </x:c>
      <x:c r="D167" s="5" t="str">
        <x:v>Painting protection supplies proposal</x:v>
      </x:c>
      <x:c r="E167" s="7" t="n">
        <x:v>920</x:v>
      </x:c>
      <x:c r="F167" s="1" t="str">
        <x:v>GalleryHumanoidV1</x:v>
      </x:c>
      <x:c r="G167" s="5" t="str">
        <x:v>Idle, Walk, Attack, Hurt</x:v>
      </x:c>
      <x:c r="H167" s="1" t="str">
        <x:v>Validated</x:v>
      </x:c>
      <x:c r="I167" s="1" t="str">
        <x:v>Pending</x:v>
      </x:c>
      <x:c r="J167" s="1" t="str">
        <x:v>Binding pending</x:v>
      </x:c>
      <x:c r="K167" s="1" t="str">
        <x:v>gallery-buildout/cast/Mob_Gallery_VarnishMonk.glb</x:v>
      </x:c>
      <x:c r="L167" s="1" t="str">
        <x:v>8ca2428428c93e844720df47a5db03ce91ac7a238e9a68d2b03cc757a75d5048</x:v>
      </x:c>
      <x:c r="M167" s="16" t="n">
        <x:v>1</x:v>
      </x:c>
      <x:c r="N167" s="1" t="str">
        <x:v>n.a.</x:v>
      </x:c>
      <x:c r="O167" s="1" t="str">
        <x:v>n.a.</x:v>
      </x:c>
      <x:c r="P167" s="1" t="n">
        <x:v>0</x:v>
      </x:c>
    </x:row>
    <x:row r="168" ht="38" customHeight="1">
      <x:c r="A168" s="1" t="str">
        <x:v>Mob_Gallery_RestorerAma</x:v>
      </x:c>
      <x:c r="B168" s="1" t="str">
        <x:v>Character</x:v>
      </x:c>
      <x:c r="C168" s="1" t="str">
        <x:v>Gallery City</x:v>
      </x:c>
      <x:c r="D168" s="5" t="str">
        <x:v>Mural restoration guidance</x:v>
      </x:c>
      <x:c r="E168" s="7" t="n">
        <x:v>928</x:v>
      </x:c>
      <x:c r="F168" s="1" t="str">
        <x:v>GalleryHumanoidV1</x:v>
      </x:c>
      <x:c r="G168" s="5" t="str">
        <x:v>Idle, Walk, Attack, Hurt</x:v>
      </x:c>
      <x:c r="H168" s="1" t="str">
        <x:v>Validated</x:v>
      </x:c>
      <x:c r="I168" s="1" t="str">
        <x:v>Pending</x:v>
      </x:c>
      <x:c r="J168" s="1" t="str">
        <x:v>Binding pending</x:v>
      </x:c>
      <x:c r="K168" s="1" t="str">
        <x:v>gallery-buildout/cast/Mob_Gallery_RestorerAma.glb</x:v>
      </x:c>
      <x:c r="L168" s="1" t="str">
        <x:v>887f80d5e0e4a8f2ac2d36e04f4ac840a2f9ce2ad190ee980d2fe21a9a44be65</x:v>
      </x:c>
      <x:c r="M168" s="16" t="n">
        <x:v>1</x:v>
      </x:c>
      <x:c r="N168" s="1" t="str">
        <x:v>n.a.</x:v>
      </x:c>
      <x:c r="O168" s="1" t="str">
        <x:v>n.a.</x:v>
      </x:c>
      <x:c r="P168" s="1" t="n">
        <x:v>0</x:v>
      </x:c>
    </x:row>
    <x:row r="169" ht="38" customHeight="1">
      <x:c r="A169" s="1" t="str">
        <x:v>Mob_Gallery_PigmentMiner</x:v>
      </x:c>
      <x:c r="B169" s="1" t="str">
        <x:v>Character</x:v>
      </x:c>
      <x:c r="C169" s="1" t="str">
        <x:v>Gallery City</x:v>
      </x:c>
      <x:c r="D169" s="5" t="str">
        <x:v>Pigment crafting guidance</x:v>
      </x:c>
      <x:c r="E169" s="7" t="n">
        <x:v>928</x:v>
      </x:c>
      <x:c r="F169" s="1" t="str">
        <x:v>GalleryHumanoidV1</x:v>
      </x:c>
      <x:c r="G169" s="5" t="str">
        <x:v>Idle, Walk, Attack, Hurt</x:v>
      </x:c>
      <x:c r="H169" s="1" t="str">
        <x:v>Validated</x:v>
      </x:c>
      <x:c r="I169" s="1" t="str">
        <x:v>Pending</x:v>
      </x:c>
      <x:c r="J169" s="1" t="str">
        <x:v>Binding pending</x:v>
      </x:c>
      <x:c r="K169" s="1" t="str">
        <x:v>gallery-buildout/cast/Mob_Gallery_PigmentMiner.glb</x:v>
      </x:c>
      <x:c r="L169" s="1" t="str">
        <x:v>86707e4fcfa9b49a19de3693f7c69dff01670bf234503bf19ae7f2ae51404837</x:v>
      </x:c>
      <x:c r="M169" s="16" t="n">
        <x:v>1</x:v>
      </x:c>
      <x:c r="N169" s="1" t="str">
        <x:v>n.a.</x:v>
      </x:c>
      <x:c r="O169" s="1" t="str">
        <x:v>n.a.</x:v>
      </x:c>
      <x:c r="P169" s="1" t="n">
        <x:v>0</x:v>
      </x:c>
    </x:row>
    <x:row r="170" ht="38" customHeight="1">
      <x:c r="A170" s="1" t="str">
        <x:v>Mob_Gallery_GalleryGuard</x:v>
      </x:c>
      <x:c r="B170" s="1" t="str">
        <x:v>Character</x:v>
      </x:c>
      <x:c r="C170" s="1" t="str">
        <x:v>Gallery City</x:v>
      </x:c>
      <x:c r="D170" s="5" t="str">
        <x:v>Gallery access guidance</x:v>
      </x:c>
      <x:c r="E170" s="7" t="n">
        <x:v>972</x:v>
      </x:c>
      <x:c r="F170" s="1" t="str">
        <x:v>GalleryHumanoidV1</x:v>
      </x:c>
      <x:c r="G170" s="5" t="str">
        <x:v>Idle, Walk, Attack, Hurt</x:v>
      </x:c>
      <x:c r="H170" s="1" t="str">
        <x:v>Validated</x:v>
      </x:c>
      <x:c r="I170" s="1" t="str">
        <x:v>Pending</x:v>
      </x:c>
      <x:c r="J170" s="1" t="str">
        <x:v>Binding pending</x:v>
      </x:c>
      <x:c r="K170" s="1" t="str">
        <x:v>gallery-buildout/cast/Mob_Gallery_GalleryGuard.glb</x:v>
      </x:c>
      <x:c r="L170" s="1" t="str">
        <x:v>0f28168765ec816655adec39dc767c2e32be18477bc3b71857743c406cfb5c26</x:v>
      </x:c>
      <x:c r="M170" s="16" t="n">
        <x:v>1</x:v>
      </x:c>
      <x:c r="N170" s="1" t="str">
        <x:v>n.a.</x:v>
      </x:c>
      <x:c r="O170" s="1" t="str">
        <x:v>n.a.</x:v>
      </x:c>
      <x:c r="P170" s="1" t="n">
        <x:v>0</x:v>
      </x:c>
    </x:row>
    <x:row r="171" ht="38" customHeight="1">
      <x:c r="A171" s="1" t="str">
        <x:v>Mob_Gallery_StreetMuralist</x:v>
      </x:c>
      <x:c r="B171" s="1" t="str">
        <x:v>Character</x:v>
      </x:c>
      <x:c r="C171" s="1" t="str">
        <x:v>Gallery City</x:v>
      </x:c>
      <x:c r="D171" s="5" t="str">
        <x:v>Painted travel hints proposal</x:v>
      </x:c>
      <x:c r="E171" s="7" t="n">
        <x:v>1040</x:v>
      </x:c>
      <x:c r="F171" s="1" t="str">
        <x:v>GalleryHumanoidV1</x:v>
      </x:c>
      <x:c r="G171" s="5" t="str">
        <x:v>Idle, Walk, Attack, Hurt</x:v>
      </x:c>
      <x:c r="H171" s="1" t="str">
        <x:v>Validated</x:v>
      </x:c>
      <x:c r="I171" s="1" t="str">
        <x:v>Pending</x:v>
      </x:c>
      <x:c r="J171" s="1" t="str">
        <x:v>Binding pending</x:v>
      </x:c>
      <x:c r="K171" s="1" t="str">
        <x:v>gallery-buildout/cast/Mob_Gallery_StreetMuralist.glb</x:v>
      </x:c>
      <x:c r="L171" s="1" t="str">
        <x:v>7786ec54dec04a5af1128e03f4c9126a09c32ad9bdcf12a15819694e7021b019</x:v>
      </x:c>
      <x:c r="M171" s="16" t="n">
        <x:v>1</x:v>
      </x:c>
      <x:c r="N171" s="1" t="str">
        <x:v>n.a.</x:v>
      </x:c>
      <x:c r="O171" s="1" t="str">
        <x:v>n.a.</x:v>
      </x:c>
      <x:c r="P171" s="1" t="n">
        <x:v>0</x:v>
      </x:c>
    </x:row>
    <x:row r="172" ht="38" customHeight="1">
      <x:c r="A172" s="1" t="str">
        <x:v>Mob_Gallery_LightTailor</x:v>
      </x:c>
      <x:c r="B172" s="1" t="str">
        <x:v>Character</x:v>
      </x:c>
      <x:c r="C172" s="1" t="str">
        <x:v>Gallery City</x:v>
      </x:c>
      <x:c r="D172" s="5" t="str">
        <x:v>Realm cosmetic presentation</x:v>
      </x:c>
      <x:c r="E172" s="7" t="n">
        <x:v>1120</x:v>
      </x:c>
      <x:c r="F172" s="1" t="str">
        <x:v>GalleryHumanoidV1</x:v>
      </x:c>
      <x:c r="G172" s="5" t="str">
        <x:v>Idle, Walk, Attack, Hurt</x:v>
      </x:c>
      <x:c r="H172" s="1" t="str">
        <x:v>Validated</x:v>
      </x:c>
      <x:c r="I172" s="1" t="str">
        <x:v>Pending</x:v>
      </x:c>
      <x:c r="J172" s="1" t="str">
        <x:v>Binding pending</x:v>
      </x:c>
      <x:c r="K172" s="1" t="str">
        <x:v>gallery-buildout/cast/Mob_Gallery_LightTailor.glb</x:v>
      </x:c>
      <x:c r="L172" s="1" t="str">
        <x:v>e1c319bf62eba64e0991e3f1c7439db85ec1ed98e2af1798bab38a25a659bdaa</x:v>
      </x:c>
      <x:c r="M172" s="16" t="n">
        <x:v>1</x:v>
      </x:c>
      <x:c r="N172" s="1" t="str">
        <x:v>n.a.</x:v>
      </x:c>
      <x:c r="O172" s="1" t="str">
        <x:v>n.a.</x:v>
      </x:c>
      <x:c r="P172" s="1" t="n">
        <x:v>0</x:v>
      </x:c>
    </x:row>
    <x:row r="173" ht="38" customHeight="1">
      <x:c r="A173" s="1" t="str">
        <x:v>Mob_Gallery_DroneMechanicPell</x:v>
      </x:c>
      <x:c r="B173" s="1" t="str">
        <x:v>Character</x:v>
      </x:c>
      <x:c r="C173" s="1" t="str">
        <x:v>Gallery City</x:v>
      </x:c>
      <x:c r="D173" s="5" t="str">
        <x:v>Drone upgrade presentation</x:v>
      </x:c>
      <x:c r="E173" s="7" t="n">
        <x:v>1216</x:v>
      </x:c>
      <x:c r="F173" s="1" t="str">
        <x:v>GalleryHumanoidV1</x:v>
      </x:c>
      <x:c r="G173" s="5" t="str">
        <x:v>Idle, Walk, Attack, Hurt</x:v>
      </x:c>
      <x:c r="H173" s="1" t="str">
        <x:v>Validated</x:v>
      </x:c>
      <x:c r="I173" s="1" t="str">
        <x:v>Pending</x:v>
      </x:c>
      <x:c r="J173" s="1" t="str">
        <x:v>Binding pending</x:v>
      </x:c>
      <x:c r="K173" s="1" t="str">
        <x:v>gallery-buildout/cast/Mob_Gallery_DroneMechanicPell.glb</x:v>
      </x:c>
      <x:c r="L173" s="1" t="str">
        <x:v>fb6316ec0fc8d5b62ae5cb1f0247df22116c704e0467951ccfceb001ee0fa029</x:v>
      </x:c>
      <x:c r="M173" s="16" t="n">
        <x:v>1</x:v>
      </x:c>
      <x:c r="N173" s="1" t="str">
        <x:v>n.a.</x:v>
      </x:c>
      <x:c r="O173" s="1" t="str">
        <x:v>n.a.</x:v>
      </x:c>
      <x:c r="P173" s="1" t="n">
        <x:v>0</x:v>
      </x:c>
    </x:row>
    <x:row r="174" ht="38" customHeight="1">
      <x:c r="A174" s="1" t="str">
        <x:v>Mob_Gallery_CriticBloom</x:v>
      </x:c>
      <x:c r="B174" s="1" t="str">
        <x:v>Character</x:v>
      </x:c>
      <x:c r="C174" s="1" t="str">
        <x:v>Gallery City</x:v>
      </x:c>
      <x:c r="D174" s="5" t="str">
        <x:v>Build review quest proposal</x:v>
      </x:c>
      <x:c r="E174" s="7" t="n">
        <x:v>936</x:v>
      </x:c>
      <x:c r="F174" s="1" t="str">
        <x:v>GalleryHumanoidV1</x:v>
      </x:c>
      <x:c r="G174" s="5" t="str">
        <x:v>Idle, Walk, Attack, Hurt</x:v>
      </x:c>
      <x:c r="H174" s="1" t="str">
        <x:v>Validated</x:v>
      </x:c>
      <x:c r="I174" s="1" t="str">
        <x:v>Pending</x:v>
      </x:c>
      <x:c r="J174" s="1" t="str">
        <x:v>Binding pending</x:v>
      </x:c>
      <x:c r="K174" s="1" t="str">
        <x:v>gallery-buildout/cast/Mob_Gallery_CriticBloom.glb</x:v>
      </x:c>
      <x:c r="L174" s="1" t="str">
        <x:v>95b8056c8639e451e66b06914b509fcc5e05851f61d31a2000e5a3549246c2d8</x:v>
      </x:c>
      <x:c r="M174" s="16" t="n">
        <x:v>1</x:v>
      </x:c>
      <x:c r="N174" s="1" t="str">
        <x:v>n.a.</x:v>
      </x:c>
      <x:c r="O174" s="1" t="str">
        <x:v>n.a.</x:v>
      </x:c>
      <x:c r="P174" s="1" t="n">
        <x:v>0</x:v>
      </x:c>
    </x:row>
    <x:row r="175" ht="38" customHeight="1">
      <x:c r="A175" s="1" t="str">
        <x:v>Mob_Gallery_LostSelfPortrait</x:v>
      </x:c>
      <x:c r="B175" s="1" t="str">
        <x:v>Character</x:v>
      </x:c>
      <x:c r="C175" s="1" t="str">
        <x:v>Gallery City</x:v>
      </x:c>
      <x:c r="D175" s="5" t="str">
        <x:v>Missing frame quest proposal</x:v>
      </x:c>
      <x:c r="E175" s="7" t="n">
        <x:v>1068</x:v>
      </x:c>
      <x:c r="F175" s="1" t="str">
        <x:v>GalleryHumanoidV1</x:v>
      </x:c>
      <x:c r="G175" s="5" t="str">
        <x:v>Idle, Walk, Attack, Hurt</x:v>
      </x:c>
      <x:c r="H175" s="1" t="str">
        <x:v>Validated</x:v>
      </x:c>
      <x:c r="I175" s="1" t="str">
        <x:v>Pending</x:v>
      </x:c>
      <x:c r="J175" s="1" t="str">
        <x:v>Binding pending</x:v>
      </x:c>
      <x:c r="K175" s="1" t="str">
        <x:v>gallery-buildout/cast/Mob_Gallery_LostSelfPortrait.glb</x:v>
      </x:c>
      <x:c r="L175" s="1" t="str">
        <x:v>183555ebd7a6c71f12365b020ebb37f5d34c794d915319d17ce4780a137d1b28</x:v>
      </x:c>
      <x:c r="M175" s="16" t="n">
        <x:v>1</x:v>
      </x:c>
      <x:c r="N175" s="1" t="str">
        <x:v>n.a.</x:v>
      </x:c>
      <x:c r="O175" s="1" t="str">
        <x:v>n.a.</x:v>
      </x:c>
      <x:c r="P175" s="1" t="n">
        <x:v>0</x:v>
      </x:c>
    </x:row>
    <x:row r="176" ht="38" customHeight="1">
      <x:c r="A176" s="1" t="str">
        <x:v>Mob_Gallery_EchoChoir</x:v>
      </x:c>
      <x:c r="B176" s="1" t="str">
        <x:v>Character</x:v>
      </x:c>
      <x:c r="C176" s="1" t="str">
        <x:v>Gallery City</x:v>
      </x:c>
      <x:c r="D176" s="5" t="str">
        <x:v>Touring jukebox district cue proposal</x:v>
      </x:c>
      <x:c r="E176" s="7" t="n">
        <x:v>1000</x:v>
      </x:c>
      <x:c r="F176" s="1" t="str">
        <x:v>GalleryHumanoidV1</x:v>
      </x:c>
      <x:c r="G176" s="5" t="str">
        <x:v>Idle, Walk, Attack, Hurt</x:v>
      </x:c>
      <x:c r="H176" s="1" t="str">
        <x:v>Validated</x:v>
      </x:c>
      <x:c r="I176" s="1" t="str">
        <x:v>Pending</x:v>
      </x:c>
      <x:c r="J176" s="1" t="str">
        <x:v>Binding pending</x:v>
      </x:c>
      <x:c r="K176" s="1" t="str">
        <x:v>gallery-buildout/cast/Mob_Gallery_EchoChoir.glb</x:v>
      </x:c>
      <x:c r="L176" s="1" t="str">
        <x:v>0af6afef337936078e5776445ac3650b922912e62857ce3b3399d75b6196e9aa</x:v>
      </x:c>
      <x:c r="M176" s="16" t="n">
        <x:v>1</x:v>
      </x:c>
      <x:c r="N176" s="1" t="str">
        <x:v>n.a.</x:v>
      </x:c>
      <x:c r="O176" s="1" t="str">
        <x:v>n.a.</x:v>
      </x:c>
      <x:c r="P176" s="1" t="n">
        <x:v>0</x:v>
      </x:c>
    </x:row>
    <x:row r="177" ht="38" customHeight="1">
      <x:c r="A177" s="1" t="str">
        <x:v>Mob_Portal_Knight_Polish</x:v>
      </x:c>
      <x:c r="B177" s="1" t="str">
        <x:v>Character</x:v>
      </x:c>
      <x:c r="C177" s="1" t="str">
        <x:v>Portal Realm</x:v>
      </x:c>
      <x:c r="D177" s="5" t="str">
        <x:v>Hero polish review; existing knight rules</x:v>
      </x:c>
      <x:c r="E177" s="7" t="n">
        <x:v>14252</x:v>
      </x:c>
      <x:c r="F177" s="1" t="str">
        <x:v>PortalHumanoidV1</x:v>
      </x:c>
      <x:c r="G177" s="5" t="str">
        <x:v>Idle, Walk, Attack, Hurt</x:v>
      </x:c>
      <x:c r="H177" s="1" t="str">
        <x:v>Validated</x:v>
      </x:c>
      <x:c r="I177" s="1" t="str">
        <x:v>Pending</x:v>
      </x:c>
      <x:c r="J177" s="1" t="str">
        <x:v>Binding pending</x:v>
      </x:c>
      <x:c r="K177" s="1" t="str">
        <x:v>portal-hero-polish/Mob_Portal_Knight_Polish.glb</x:v>
      </x:c>
      <x:c r="L177" s="1" t="str">
        <x:v>bfa2f8479888a683d46e3d62ff145cb37072fe02c90241e3a9052050c2709c29</x:v>
      </x:c>
      <x:c r="M177" s="16" t="n">
        <x:v>0</x:v>
      </x:c>
      <x:c r="N177" s="1" t="str">
        <x:v>n.a.</x:v>
      </x:c>
      <x:c r="O177" s="1" t="str">
        <x:v>n.a.</x:v>
      </x:c>
      <x:c r="P177" s="1" t="n">
        <x:v>0</x:v>
      </x:c>
    </x:row>
    <x:row r="178" ht="38" customHeight="1">
      <x:c r="A178" s="1" t="str">
        <x:v>Mob_Portal_Knight_Polish_LOD1</x:v>
      </x:c>
      <x:c r="B178" s="1" t="str">
        <x:v>Character</x:v>
      </x:c>
      <x:c r="C178" s="1" t="str">
        <x:v>Portal Realm</x:v>
      </x:c>
      <x:c r="D178" s="5" t="str">
        <x:v>Hero visual LOD; same existing role</x:v>
      </x:c>
      <x:c r="E178" s="7" t="n">
        <x:v>4988</x:v>
      </x:c>
      <x:c r="F178" s="1" t="str">
        <x:v>PortalHumanoidV1</x:v>
      </x:c>
      <x:c r="G178" s="5" t="str">
        <x:v>Idle, Walk, Attack, Hurt</x:v>
      </x:c>
      <x:c r="H178" s="1" t="str">
        <x:v>Validated</x:v>
      </x:c>
      <x:c r="I178" s="1" t="str">
        <x:v>Pending</x:v>
      </x:c>
      <x:c r="J178" s="1" t="str">
        <x:v>Binding pending</x:v>
      </x:c>
      <x:c r="K178" s="1" t="str">
        <x:v>portal-hero-lods/Mob_Portal_Knight_Polish_LOD1.glb</x:v>
      </x:c>
      <x:c r="L178" s="1" t="str">
        <x:v>75632474a90a5775d8430b42db62f3139863d8fd36e4ad0422c6e1e9e87266ad</x:v>
      </x:c>
      <x:c r="M178" s="16" t="n">
        <x:v>0</x:v>
      </x:c>
      <x:c r="N178" s="1" t="str">
        <x:v>n.a.</x:v>
      </x:c>
      <x:c r="O178" s="1" t="str">
        <x:v>n.a.</x:v>
      </x:c>
      <x:c r="P178" s="1" t="n">
        <x:v>1</x:v>
      </x:c>
    </x:row>
    <x:row r="179" ht="38" customHeight="1">
      <x:c r="A179" s="1" t="str">
        <x:v>Mob_Portal_Knight_Polish_LOD2</x:v>
      </x:c>
      <x:c r="B179" s="1" t="str">
        <x:v>Character</x:v>
      </x:c>
      <x:c r="C179" s="1" t="str">
        <x:v>Portal Realm</x:v>
      </x:c>
      <x:c r="D179" s="5" t="str">
        <x:v>Hero visual LOD; same existing role</x:v>
      </x:c>
      <x:c r="E179" s="7" t="n">
        <x:v>1706</x:v>
      </x:c>
      <x:c r="F179" s="1" t="str">
        <x:v>PortalHumanoidV1</x:v>
      </x:c>
      <x:c r="G179" s="5" t="str">
        <x:v>Idle, Walk, Attack, Hurt</x:v>
      </x:c>
      <x:c r="H179" s="1" t="str">
        <x:v>Validated</x:v>
      </x:c>
      <x:c r="I179" s="1" t="str">
        <x:v>Pending</x:v>
      </x:c>
      <x:c r="J179" s="1" t="str">
        <x:v>Binding pending</x:v>
      </x:c>
      <x:c r="K179" s="1" t="str">
        <x:v>portal-hero-lods/Mob_Portal_Knight_Polish_LOD2.glb</x:v>
      </x:c>
      <x:c r="L179" s="1" t="str">
        <x:v>51bb21340145ae8a877250d4a0fcdf284b209e394e46da984aa06dc8adfa692b</x:v>
      </x:c>
      <x:c r="M179" s="16" t="n">
        <x:v>0</x:v>
      </x:c>
      <x:c r="N179" s="1" t="str">
        <x:v>n.a.</x:v>
      </x:c>
      <x:c r="O179" s="1" t="str">
        <x:v>n.a.</x:v>
      </x:c>
      <x:c r="P179" s="1" t="n">
        <x:v>2</x:v>
      </x:c>
    </x:row>
    <x:row r="180" ht="38" customHeight="1">
      <x:c r="A180" s="1" t="str">
        <x:v>Mob_Portal_BLIGHT_SLIME_Polish_01</x:v>
      </x:c>
      <x:c r="B180" s="1" t="str">
        <x:v>Character</x:v>
      </x:c>
      <x:c r="C180" s="1" t="str">
        <x:v>Portal Realm</x:v>
      </x:c>
      <x:c r="D180" s="5" t="str">
        <x:v>Existing Blight Slime encounter visual</x:v>
      </x:c>
      <x:c r="E180" s="7" t="n">
        <x:v>5908</x:v>
      </x:c>
      <x:c r="F180" s="1" t="str">
        <x:v>PortalCreatureV1</x:v>
      </x:c>
      <x:c r="G180" s="5" t="str">
        <x:v>Idle, Walk, Attack, Hurt</x:v>
      </x:c>
      <x:c r="H180" s="1" t="str">
        <x:v>Validated</x:v>
      </x:c>
      <x:c r="I180" s="1" t="str">
        <x:v>Pending</x:v>
      </x:c>
      <x:c r="J180" s="1" t="str">
        <x:v>Binding pending</x:v>
      </x:c>
      <x:c r="K180" s="1" t="str">
        <x:v>portal-slime-polish/Mob_Portal_BLIGHT_SLIME_Polish_01.glb</x:v>
      </x:c>
      <x:c r="L180" s="1" t="str">
        <x:v>5976d65cc6ad0bffe08a5cdb64a41adfa0e0cd3232ce72216b2c99705381c972</x:v>
      </x:c>
      <x:c r="M180" s="16" t="n">
        <x:v>0</x:v>
      </x:c>
      <x:c r="N180" s="1" t="str">
        <x:v>BLIGHT_SLIME</x:v>
      </x:c>
      <x:c r="O180" s="1" t="str">
        <x:v>Portal_enemy_BLIGHT_SLIME_01</x:v>
      </x:c>
      <x:c r="P180" s="1" t="n">
        <x:v>0</x:v>
      </x:c>
    </x:row>
    <x:row r="181" ht="38" customHeight="1">
      <x:c r="A181" s="1" t="str">
        <x:v>Mob_Portal_BLIGHT_SLIME_Polish_02</x:v>
      </x:c>
      <x:c r="B181" s="1" t="str">
        <x:v>Character</x:v>
      </x:c>
      <x:c r="C181" s="1" t="str">
        <x:v>Portal Realm</x:v>
      </x:c>
      <x:c r="D181" s="5" t="str">
        <x:v>Existing Blight Slime encounter visual</x:v>
      </x:c>
      <x:c r="E181" s="7" t="n">
        <x:v>5928</x:v>
      </x:c>
      <x:c r="F181" s="1" t="str">
        <x:v>PortalCreatureV1</x:v>
      </x:c>
      <x:c r="G181" s="5" t="str">
        <x:v>Idle, Walk, Attack, Hurt</x:v>
      </x:c>
      <x:c r="H181" s="1" t="str">
        <x:v>Validated</x:v>
      </x:c>
      <x:c r="I181" s="1" t="str">
        <x:v>Pending</x:v>
      </x:c>
      <x:c r="J181" s="1" t="str">
        <x:v>Binding pending</x:v>
      </x:c>
      <x:c r="K181" s="1" t="str">
        <x:v>portal-slime-polish/Mob_Portal_BLIGHT_SLIME_Polish_02.glb</x:v>
      </x:c>
      <x:c r="L181" s="1" t="str">
        <x:v>78b7e9b3950acaded07cc7a2225286b2e14e710471f3fda7764d7fb73c054fe2</x:v>
      </x:c>
      <x:c r="M181" s="16" t="n">
        <x:v>0</x:v>
      </x:c>
      <x:c r="N181" s="1" t="str">
        <x:v>BLIGHT_SLIME</x:v>
      </x:c>
      <x:c r="O181" s="1" t="str">
        <x:v>Portal_enemy_BLIGHT_SLIME_02</x:v>
      </x:c>
      <x:c r="P181" s="1" t="n">
        <x:v>0</x:v>
      </x:c>
    </x:row>
    <x:row r="182" ht="38" customHeight="1">
      <x:c r="A182" s="1" t="str">
        <x:v>Mob_Portal_BLIGHT_SLIME_Polish_03</x:v>
      </x:c>
      <x:c r="B182" s="1" t="str">
        <x:v>Character</x:v>
      </x:c>
      <x:c r="C182" s="1" t="str">
        <x:v>Portal Realm</x:v>
      </x:c>
      <x:c r="D182" s="5" t="str">
        <x:v>Existing Blight Slime encounter visual</x:v>
      </x:c>
      <x:c r="E182" s="7" t="n">
        <x:v>5948</x:v>
      </x:c>
      <x:c r="F182" s="1" t="str">
        <x:v>PortalCreatureV1</x:v>
      </x:c>
      <x:c r="G182" s="5" t="str">
        <x:v>Idle, Walk, Attack, Hurt</x:v>
      </x:c>
      <x:c r="H182" s="1" t="str">
        <x:v>Validated</x:v>
      </x:c>
      <x:c r="I182" s="1" t="str">
        <x:v>Pending</x:v>
      </x:c>
      <x:c r="J182" s="1" t="str">
        <x:v>Binding pending</x:v>
      </x:c>
      <x:c r="K182" s="1" t="str">
        <x:v>portal-slime-polish/Mob_Portal_BLIGHT_SLIME_Polish_03.glb</x:v>
      </x:c>
      <x:c r="L182" s="1" t="str">
        <x:v>8a15302a21e37852f071095ff31100f518cec5a718b3d0da786748a538fe9801</x:v>
      </x:c>
      <x:c r="M182" s="16" t="n">
        <x:v>0</x:v>
      </x:c>
      <x:c r="N182" s="1" t="str">
        <x:v>BLIGHT_SLIME</x:v>
      </x:c>
      <x:c r="O182" s="1" t="str">
        <x:v>Portal_enemy_BLIGHT_SLIME_03</x:v>
      </x:c>
      <x:c r="P182" s="1" t="n">
        <x:v>0</x:v>
      </x:c>
    </x:row>
    <x:row r="183" ht="38" customHeight="1">
      <x:c r="A183" s="1" t="str">
        <x:v>Mob_Portal_BLIGHT_SLIME_Polish_04</x:v>
      </x:c>
      <x:c r="B183" s="1" t="str">
        <x:v>Character</x:v>
      </x:c>
      <x:c r="C183" s="1" t="str">
        <x:v>Portal Realm</x:v>
      </x:c>
      <x:c r="D183" s="5" t="str">
        <x:v>Existing Blight Slime encounter visual</x:v>
      </x:c>
      <x:c r="E183" s="7" t="n">
        <x:v>5968</x:v>
      </x:c>
      <x:c r="F183" s="1" t="str">
        <x:v>PortalCreatureV1</x:v>
      </x:c>
      <x:c r="G183" s="5" t="str">
        <x:v>Idle, Walk, Attack, Hurt</x:v>
      </x:c>
      <x:c r="H183" s="1" t="str">
        <x:v>Validated</x:v>
      </x:c>
      <x:c r="I183" s="1" t="str">
        <x:v>Pending</x:v>
      </x:c>
      <x:c r="J183" s="1" t="str">
        <x:v>Binding pending</x:v>
      </x:c>
      <x:c r="K183" s="1" t="str">
        <x:v>portal-slime-polish/Mob_Portal_BLIGHT_SLIME_Polish_04.glb</x:v>
      </x:c>
      <x:c r="L183" s="1" t="str">
        <x:v>dd3bd1f681454a5e05570345391290bc698ce06d063ab2c1556d3eeabcf807c0</x:v>
      </x:c>
      <x:c r="M183" s="16" t="n">
        <x:v>0</x:v>
      </x:c>
      <x:c r="N183" s="1" t="str">
        <x:v>BLIGHT_SLIME</x:v>
      </x:c>
      <x:c r="O183" s="1" t="str">
        <x:v>Portal_enemy_BLIGHT_SLIME_04</x:v>
      </x:c>
      <x:c r="P183" s="1" t="n">
        <x:v>0</x:v>
      </x:c>
    </x:row>
    <x:row r="184" ht="38" customHeight="1">
      <x:c r="A184" s="1" t="str">
        <x:v>Mob_Portal_BLIGHT_SLIME_Polish_05</x:v>
      </x:c>
      <x:c r="B184" s="1" t="str">
        <x:v>Character</x:v>
      </x:c>
      <x:c r="C184" s="1" t="str">
        <x:v>Portal Realm</x:v>
      </x:c>
      <x:c r="D184" s="5" t="str">
        <x:v>Existing Blight Slime encounter visual</x:v>
      </x:c>
      <x:c r="E184" s="7" t="n">
        <x:v>5988</x:v>
      </x:c>
      <x:c r="F184" s="1" t="str">
        <x:v>PortalCreatureV1</x:v>
      </x:c>
      <x:c r="G184" s="5" t="str">
        <x:v>Idle, Walk, Attack, Hurt</x:v>
      </x:c>
      <x:c r="H184" s="1" t="str">
        <x:v>Validated</x:v>
      </x:c>
      <x:c r="I184" s="1" t="str">
        <x:v>Pending</x:v>
      </x:c>
      <x:c r="J184" s="1" t="str">
        <x:v>Binding pending</x:v>
      </x:c>
      <x:c r="K184" s="1" t="str">
        <x:v>portal-slime-polish/Mob_Portal_BLIGHT_SLIME_Polish_05.glb</x:v>
      </x:c>
      <x:c r="L184" s="1" t="str">
        <x:v>5824ddc6eb3d9088107be33b76221e18d7021e38872bf7223bf80cd4ee4e83b1</x:v>
      </x:c>
      <x:c r="M184" s="16" t="n">
        <x:v>0</x:v>
      </x:c>
      <x:c r="N184" s="1" t="str">
        <x:v>BLIGHT_SLIME</x:v>
      </x:c>
      <x:c r="O184" s="1" t="str">
        <x:v>Portal_enemy_BLIGHT_SLIME_05</x:v>
      </x:c>
      <x:c r="P184" s="1" t="n">
        <x:v>0</x:v>
      </x:c>
    </x:row>
    <x:row r="185" ht="38" customHeight="1">
      <x:c r="A185" s="1" t="str">
        <x:v>Mob_Portal_BLIGHT_SLIME_Polish_06</x:v>
      </x:c>
      <x:c r="B185" s="1" t="str">
        <x:v>Character</x:v>
      </x:c>
      <x:c r="C185" s="1" t="str">
        <x:v>Portal Realm</x:v>
      </x:c>
      <x:c r="D185" s="5" t="str">
        <x:v>Existing Blight Slime encounter visual</x:v>
      </x:c>
      <x:c r="E185" s="7" t="n">
        <x:v>5908</x:v>
      </x:c>
      <x:c r="F185" s="1" t="str">
        <x:v>PortalCreatureV1</x:v>
      </x:c>
      <x:c r="G185" s="5" t="str">
        <x:v>Idle, Walk, Attack, Hurt</x:v>
      </x:c>
      <x:c r="H185" s="1" t="str">
        <x:v>Validated</x:v>
      </x:c>
      <x:c r="I185" s="1" t="str">
        <x:v>Pending</x:v>
      </x:c>
      <x:c r="J185" s="1" t="str">
        <x:v>Binding pending</x:v>
      </x:c>
      <x:c r="K185" s="1" t="str">
        <x:v>portal-slime-polish/Mob_Portal_BLIGHT_SLIME_Polish_06.glb</x:v>
      </x:c>
      <x:c r="L185" s="1" t="str">
        <x:v>a21bd14270587f96afb59193bd3deae46d14431f841b8d17b3cdabdaa2fd94ce</x:v>
      </x:c>
      <x:c r="M185" s="16" t="n">
        <x:v>0</x:v>
      </x:c>
      <x:c r="N185" s="1" t="str">
        <x:v>BLIGHT_SLIME</x:v>
      </x:c>
      <x:c r="O185" s="1" t="str">
        <x:v>Portal_enemy_BLIGHT_SLIME_06</x:v>
      </x:c>
      <x:c r="P185" s="1" t="n">
        <x:v>0</x:v>
      </x:c>
    </x:row>
    <x:row r="186" ht="38" customHeight="1">
      <x:c r="A186" s="1" t="str">
        <x:v>Mob_Portal_BLIGHT_SLIME_Polish_07</x:v>
      </x:c>
      <x:c r="B186" s="1" t="str">
        <x:v>Character</x:v>
      </x:c>
      <x:c r="C186" s="1" t="str">
        <x:v>Portal Realm</x:v>
      </x:c>
      <x:c r="D186" s="5" t="str">
        <x:v>Existing Blight Slime encounter visual</x:v>
      </x:c>
      <x:c r="E186" s="7" t="n">
        <x:v>5928</x:v>
      </x:c>
      <x:c r="F186" s="1" t="str">
        <x:v>PortalCreatureV1</x:v>
      </x:c>
      <x:c r="G186" s="5" t="str">
        <x:v>Idle, Walk, Attack, Hurt</x:v>
      </x:c>
      <x:c r="H186" s="1" t="str">
        <x:v>Validated</x:v>
      </x:c>
      <x:c r="I186" s="1" t="str">
        <x:v>Pending</x:v>
      </x:c>
      <x:c r="J186" s="1" t="str">
        <x:v>Binding pending</x:v>
      </x:c>
      <x:c r="K186" s="1" t="str">
        <x:v>portal-slime-polish/Mob_Portal_BLIGHT_SLIME_Polish_07.glb</x:v>
      </x:c>
      <x:c r="L186" s="1" t="str">
        <x:v>dcc07fe1ca260fd7274f767c873cb84dbc7d07e09ab2ee011f2cb2b4476c214c</x:v>
      </x:c>
      <x:c r="M186" s="16" t="n">
        <x:v>0</x:v>
      </x:c>
      <x:c r="N186" s="1" t="str">
        <x:v>BLIGHT_SLIME</x:v>
      </x:c>
      <x:c r="O186" s="1" t="str">
        <x:v>Portal_enemy_BLIGHT_SLIME_07</x:v>
      </x:c>
      <x:c r="P186" s="1" t="n">
        <x:v>0</x:v>
      </x:c>
    </x:row>
    <x:row r="187" ht="38" customHeight="1">
      <x:c r="A187" s="1" t="str">
        <x:v>Mob_Portal_BLIGHT_SLIME_Polish_08</x:v>
      </x:c>
      <x:c r="B187" s="1" t="str">
        <x:v>Character</x:v>
      </x:c>
      <x:c r="C187" s="1" t="str">
        <x:v>Portal Realm</x:v>
      </x:c>
      <x:c r="D187" s="5" t="str">
        <x:v>Existing Blight Slime encounter visual</x:v>
      </x:c>
      <x:c r="E187" s="7" t="n">
        <x:v>5948</x:v>
      </x:c>
      <x:c r="F187" s="1" t="str">
        <x:v>PortalCreatureV1</x:v>
      </x:c>
      <x:c r="G187" s="5" t="str">
        <x:v>Idle, Walk, Attack, Hurt</x:v>
      </x:c>
      <x:c r="H187" s="1" t="str">
        <x:v>Validated</x:v>
      </x:c>
      <x:c r="I187" s="1" t="str">
        <x:v>Pending</x:v>
      </x:c>
      <x:c r="J187" s="1" t="str">
        <x:v>Binding pending</x:v>
      </x:c>
      <x:c r="K187" s="1" t="str">
        <x:v>portal-slime-polish/Mob_Portal_BLIGHT_SLIME_Polish_08.glb</x:v>
      </x:c>
      <x:c r="L187" s="1" t="str">
        <x:v>5528a9f3cf8706f6adbaa9b2c6d29f09887eb3c2209e08923e5b89fabe11da2a</x:v>
      </x:c>
      <x:c r="M187" s="16" t="n">
        <x:v>0</x:v>
      </x:c>
      <x:c r="N187" s="1" t="str">
        <x:v>BLIGHT_SLIME</x:v>
      </x:c>
      <x:c r="O187" s="1" t="str">
        <x:v>Portal_enemy_BLIGHT_SLIME_08</x:v>
      </x:c>
      <x:c r="P187" s="1" t="n">
        <x:v>0</x:v>
      </x:c>
    </x:row>
    <x:row r="188" ht="38" customHeight="1">
      <x:c r="A188" s="1" t="str">
        <x:v>Mob_Portal_BLIGHT_SLIME_Polish_09</x:v>
      </x:c>
      <x:c r="B188" s="1" t="str">
        <x:v>Character</x:v>
      </x:c>
      <x:c r="C188" s="1" t="str">
        <x:v>Portal Realm</x:v>
      </x:c>
      <x:c r="D188" s="5" t="str">
        <x:v>Existing Blight Slime encounter visual</x:v>
      </x:c>
      <x:c r="E188" s="7" t="n">
        <x:v>5968</x:v>
      </x:c>
      <x:c r="F188" s="1" t="str">
        <x:v>PortalCreatureV1</x:v>
      </x:c>
      <x:c r="G188" s="5" t="str">
        <x:v>Idle, Walk, Attack, Hurt</x:v>
      </x:c>
      <x:c r="H188" s="1" t="str">
        <x:v>Validated</x:v>
      </x:c>
      <x:c r="I188" s="1" t="str">
        <x:v>Pending</x:v>
      </x:c>
      <x:c r="J188" s="1" t="str">
        <x:v>Binding pending</x:v>
      </x:c>
      <x:c r="K188" s="1" t="str">
        <x:v>portal-slime-polish/Mob_Portal_BLIGHT_SLIME_Polish_09.glb</x:v>
      </x:c>
      <x:c r="L188" s="1" t="str">
        <x:v>03ed035dfdf5ec0ad1273b7127ed05864dc177fd691c560fdf0e522b0d1204b5</x:v>
      </x:c>
      <x:c r="M188" s="16" t="n">
        <x:v>0</x:v>
      </x:c>
      <x:c r="N188" s="1" t="str">
        <x:v>BLIGHT_SLIME</x:v>
      </x:c>
      <x:c r="O188" s="1" t="str">
        <x:v>Portal_enemy_BLIGHT_SLIME_09</x:v>
      </x:c>
      <x:c r="P188" s="1" t="n">
        <x:v>0</x:v>
      </x:c>
    </x:row>
    <x:row r="189" ht="38" customHeight="1">
      <x:c r="A189" s="1" t="str">
        <x:v>Mob_Portal_BLIGHT_SLIME_Polish_10</x:v>
      </x:c>
      <x:c r="B189" s="1" t="str">
        <x:v>Character</x:v>
      </x:c>
      <x:c r="C189" s="1" t="str">
        <x:v>Portal Realm</x:v>
      </x:c>
      <x:c r="D189" s="5" t="str">
        <x:v>Existing Blight Slime encounter visual</x:v>
      </x:c>
      <x:c r="E189" s="7" t="n">
        <x:v>5988</x:v>
      </x:c>
      <x:c r="F189" s="1" t="str">
        <x:v>PortalCreatureV1</x:v>
      </x:c>
      <x:c r="G189" s="5" t="str">
        <x:v>Idle, Walk, Attack, Hurt</x:v>
      </x:c>
      <x:c r="H189" s="1" t="str">
        <x:v>Validated</x:v>
      </x:c>
      <x:c r="I189" s="1" t="str">
        <x:v>Pending</x:v>
      </x:c>
      <x:c r="J189" s="1" t="str">
        <x:v>Binding pending</x:v>
      </x:c>
      <x:c r="K189" s="1" t="str">
        <x:v>portal-slime-polish/Mob_Portal_BLIGHT_SLIME_Polish_10.glb</x:v>
      </x:c>
      <x:c r="L189" s="1" t="str">
        <x:v>0646f6c8ad458b2ec9079cb31a683c0d660cc3eca1933d1fd078086047e22ac5</x:v>
      </x:c>
      <x:c r="M189" s="16" t="n">
        <x:v>0</x:v>
      </x:c>
      <x:c r="N189" s="1" t="str">
        <x:v>BLIGHT_SLIME</x:v>
      </x:c>
      <x:c r="O189" s="1" t="str">
        <x:v>Portal_enemy_BLIGHT_SLIME_10</x:v>
      </x:c>
      <x:c r="P189" s="1" t="n">
        <x:v>0</x:v>
      </x:c>
    </x:row>
    <x:row r="190" ht="38" customHeight="1">
      <x:c r="A190" s="1" t="str">
        <x:v>Mob_Gallery_Smudgeling</x:v>
      </x:c>
      <x:c r="B190" s="1" t="str">
        <x:v>Character</x:v>
      </x:c>
      <x:c r="C190" s="1" t="str">
        <x:v>Gallery City</x:v>
      </x:c>
      <x:c r="D190" s="5" t="str">
        <x:v>Ink creature</x:v>
      </x:c>
      <x:c r="E190" s="7" t="n">
        <x:v>1792</x:v>
      </x:c>
      <x:c r="F190" s="1" t="str">
        <x:v>GalleryCreatureV1</x:v>
      </x:c>
      <x:c r="G190" s="5" t="str">
        <x:v>Idle, Walk, Attack, Hurt</x:v>
      </x:c>
      <x:c r="H190" s="1" t="str">
        <x:v>Validated</x:v>
      </x:c>
      <x:c r="I190" s="1" t="str">
        <x:v>Pending</x:v>
      </x:c>
      <x:c r="J190" s="1" t="str">
        <x:v>Binding pending</x:v>
      </x:c>
      <x:c r="K190" s="1" t="str">
        <x:v>gallery-buildout/creatures/Mob_Gallery_Smudgeling.glb</x:v>
      </x:c>
      <x:c r="L190" s="1" t="str">
        <x:v>5c9890d264e41ead8fa2384a6c96c60c59ee27be1443167405325b36e5a3e370</x:v>
      </x:c>
      <x:c r="M190" s="16" t="n">
        <x:v>1</x:v>
      </x:c>
      <x:c r="N190" s="1" t="str">
        <x:v>n.a.</x:v>
      </x:c>
      <x:c r="O190" s="1" t="str">
        <x:v>n.a.</x:v>
      </x:c>
      <x:c r="P190" s="1" t="n">
        <x:v>0</x:v>
      </x:c>
    </x:row>
    <x:row r="191" ht="38" customHeight="1">
      <x:c r="A191" s="1" t="str">
        <x:v>Mob_Gallery_ThumbtackBeetle</x:v>
      </x:c>
      <x:c r="B191" s="1" t="str">
        <x:v>Character</x:v>
      </x:c>
      <x:c r="C191" s="1" t="str">
        <x:v>Gallery City</x:v>
      </x:c>
      <x:c r="D191" s="5" t="str">
        <x:v>Metal beetle</x:v>
      </x:c>
      <x:c r="E191" s="7" t="n">
        <x:v>1788</x:v>
      </x:c>
      <x:c r="F191" s="1" t="str">
        <x:v>GalleryCreatureV1</x:v>
      </x:c>
      <x:c r="G191" s="5" t="str">
        <x:v>Idle, Walk, Attack, Hurt</x:v>
      </x:c>
      <x:c r="H191" s="1" t="str">
        <x:v>Validated</x:v>
      </x:c>
      <x:c r="I191" s="1" t="str">
        <x:v>Pending</x:v>
      </x:c>
      <x:c r="J191" s="1" t="str">
        <x:v>Binding pending</x:v>
      </x:c>
      <x:c r="K191" s="1" t="str">
        <x:v>gallery-buildout/creatures/Mob_Gallery_ThumbtackBeetle.glb</x:v>
      </x:c>
      <x:c r="L191" s="1" t="str">
        <x:v>f9879366ec38a649ddbed13a51a560f1806b9755e7112f05dba1c6b891bcdd7c</x:v>
      </x:c>
      <x:c r="M191" s="16" t="n">
        <x:v>1</x:v>
      </x:c>
      <x:c r="N191" s="1" t="str">
        <x:v>n.a.</x:v>
      </x:c>
      <x:c r="O191" s="1" t="str">
        <x:v>n.a.</x:v>
      </x:c>
      <x:c r="P191" s="1" t="n">
        <x:v>0</x:v>
      </x:c>
    </x:row>
    <x:row r="192" ht="38" customHeight="1">
      <x:c r="A192" s="1" t="str">
        <x:v>Mob_Gallery_CanvasMoth</x:v>
      </x:c>
      <x:c r="B192" s="1" t="str">
        <x:v>Character</x:v>
      </x:c>
      <x:c r="C192" s="1" t="str">
        <x:v>Gallery City</x:v>
      </x:c>
      <x:c r="D192" s="5" t="str">
        <x:v>Canvas-wing creature</x:v>
      </x:c>
      <x:c r="E192" s="7" t="n">
        <x:v>1916</x:v>
      </x:c>
      <x:c r="F192" s="1" t="str">
        <x:v>GalleryCreatureV1</x:v>
      </x:c>
      <x:c r="G192" s="5" t="str">
        <x:v>Idle, Walk, Attack, Hurt</x:v>
      </x:c>
      <x:c r="H192" s="1" t="str">
        <x:v>Validated</x:v>
      </x:c>
      <x:c r="I192" s="1" t="str">
        <x:v>Pending</x:v>
      </x:c>
      <x:c r="J192" s="1" t="str">
        <x:v>Binding pending</x:v>
      </x:c>
      <x:c r="K192" s="1" t="str">
        <x:v>gallery-buildout/creatures/Mob_Gallery_CanvasMoth.glb</x:v>
      </x:c>
      <x:c r="L192" s="1" t="str">
        <x:v>da33e970963d79b640564567bc471e56f3067471bfac778e64825bef1804d3d6</x:v>
      </x:c>
      <x:c r="M192" s="16" t="n">
        <x:v>1</x:v>
      </x:c>
      <x:c r="N192" s="1" t="str">
        <x:v>n.a.</x:v>
      </x:c>
      <x:c r="O192" s="1" t="str">
        <x:v>n.a.</x:v>
      </x:c>
      <x:c r="P192" s="1" t="n">
        <x:v>0</x:v>
      </x:c>
    </x:row>
    <x:row r="193" ht="38" customHeight="1">
      <x:c r="A193" s="1" t="str">
        <x:v>Mob_Gallery_EaselStrider</x:v>
      </x:c>
      <x:c r="B193" s="1" t="str">
        <x:v>Character</x:v>
      </x:c>
      <x:c r="C193" s="1" t="str">
        <x:v>Gallery City</x:v>
      </x:c>
      <x:c r="D193" s="5" t="str">
        <x:v>Tripod creature</x:v>
      </x:c>
      <x:c r="E193" s="7" t="n">
        <x:v>1048</x:v>
      </x:c>
      <x:c r="F193" s="1" t="str">
        <x:v>GalleryCreatureV1</x:v>
      </x:c>
      <x:c r="G193" s="5" t="str">
        <x:v>Idle, Walk, Attack, Hurt</x:v>
      </x:c>
      <x:c r="H193" s="1" t="str">
        <x:v>Validated</x:v>
      </x:c>
      <x:c r="I193" s="1" t="str">
        <x:v>Pending</x:v>
      </x:c>
      <x:c r="J193" s="1" t="str">
        <x:v>Binding pending</x:v>
      </x:c>
      <x:c r="K193" s="1" t="str">
        <x:v>gallery-buildout/creatures/Mob_Gallery_EaselStrider.glb</x:v>
      </x:c>
      <x:c r="L193" s="1" t="str">
        <x:v>00766cd978ba3445e0e3094cc77e6b4aa75c9873a814b8e9107be230e1c5dcc7</x:v>
      </x:c>
      <x:c r="M193" s="16" t="n">
        <x:v>1</x:v>
      </x:c>
      <x:c r="N193" s="1" t="str">
        <x:v>n.a.</x:v>
      </x:c>
      <x:c r="O193" s="1" t="str">
        <x:v>n.a.</x:v>
      </x:c>
      <x:c r="P193" s="1" t="n">
        <x:v>0</x:v>
      </x:c>
    </x:row>
    <x:row r="194" ht="38" customHeight="1">
      <x:c r="A194" s="1" t="str">
        <x:v>Mob_Gallery_TurpentineToad</x:v>
      </x:c>
      <x:c r="B194" s="1" t="str">
        <x:v>Character</x:v>
      </x:c>
      <x:c r="C194" s="1" t="str">
        <x:v>Gallery City</x:v>
      </x:c>
      <x:c r="D194" s="5" t="str">
        <x:v>Toad creature</x:v>
      </x:c>
      <x:c r="E194" s="7" t="n">
        <x:v>2232</x:v>
      </x:c>
      <x:c r="F194" s="1" t="str">
        <x:v>GalleryCreatureV1</x:v>
      </x:c>
      <x:c r="G194" s="5" t="str">
        <x:v>Idle, Walk, Attack, Hurt</x:v>
      </x:c>
      <x:c r="H194" s="1" t="str">
        <x:v>Validated</x:v>
      </x:c>
      <x:c r="I194" s="1" t="str">
        <x:v>Pending</x:v>
      </x:c>
      <x:c r="J194" s="1" t="str">
        <x:v>Binding pending</x:v>
      </x:c>
      <x:c r="K194" s="1" t="str">
        <x:v>gallery-buildout/creatures/Mob_Gallery_TurpentineToad.glb</x:v>
      </x:c>
      <x:c r="L194" s="1" t="str">
        <x:v>6e43b9f72852041df1b74dd583f857fef7c31711f53dd726293de7b481dbf7bd</x:v>
      </x:c>
      <x:c r="M194" s="16" t="n">
        <x:v>1</x:v>
      </x:c>
      <x:c r="N194" s="1" t="str">
        <x:v>n.a.</x:v>
      </x:c>
      <x:c r="O194" s="1" t="str">
        <x:v>n.a.</x:v>
      </x:c>
      <x:c r="P194" s="1" t="n">
        <x:v>0</x:v>
      </x:c>
    </x:row>
    <x:row r="195" ht="38" customHeight="1">
      <x:c r="A195" s="1" t="str">
        <x:v>Mob_Gallery_MosaicHound</x:v>
      </x:c>
      <x:c r="B195" s="1" t="str">
        <x:v>Character</x:v>
      </x:c>
      <x:c r="C195" s="1" t="str">
        <x:v>Gallery City</x:v>
      </x:c>
      <x:c r="D195" s="5" t="str">
        <x:v>Tile hound</x:v>
      </x:c>
      <x:c r="E195" s="7" t="n">
        <x:v>1788</x:v>
      </x:c>
      <x:c r="F195" s="1" t="str">
        <x:v>GalleryCreatureV1</x:v>
      </x:c>
      <x:c r="G195" s="5" t="str">
        <x:v>Idle, Walk, Attack, Hurt</x:v>
      </x:c>
      <x:c r="H195" s="1" t="str">
        <x:v>Validated</x:v>
      </x:c>
      <x:c r="I195" s="1" t="str">
        <x:v>Pending</x:v>
      </x:c>
      <x:c r="J195" s="1" t="str">
        <x:v>Binding pending</x:v>
      </x:c>
      <x:c r="K195" s="1" t="str">
        <x:v>gallery-buildout/creatures/Mob_Gallery_MosaicHound.glb</x:v>
      </x:c>
      <x:c r="L195" s="1" t="str">
        <x:v>865a2c47cf36f5fce326b7e2a0db990aa734342827a95040f51a1b3611ed0d6c</x:v>
      </x:c>
      <x:c r="M195" s="16" t="n">
        <x:v>1</x:v>
      </x:c>
      <x:c r="N195" s="1" t="str">
        <x:v>n.a.</x:v>
      </x:c>
      <x:c r="O195" s="1" t="str">
        <x:v>n.a.</x:v>
      </x:c>
      <x:c r="P195" s="1" t="n">
        <x:v>0</x:v>
      </x:c>
    </x:row>
    <x:row r="196" ht="38" customHeight="1">
      <x:c r="A196" s="1" t="str">
        <x:v>Mob_Gallery_GildedFrameMimic</x:v>
      </x:c>
      <x:c r="B196" s="1" t="str">
        <x:v>Character</x:v>
      </x:c>
      <x:c r="C196" s="1" t="str">
        <x:v>Gallery City</x:v>
      </x:c>
      <x:c r="D196" s="5" t="str">
        <x:v>Living frame creature</x:v>
      </x:c>
      <x:c r="E196" s="7" t="n">
        <x:v>1296</x:v>
      </x:c>
      <x:c r="F196" s="1" t="str">
        <x:v>GalleryCreatureV1</x:v>
      </x:c>
      <x:c r="G196" s="5" t="str">
        <x:v>Idle, Walk, Attack, Hurt</x:v>
      </x:c>
      <x:c r="H196" s="1" t="str">
        <x:v>Validated</x:v>
      </x:c>
      <x:c r="I196" s="1" t="str">
        <x:v>Pending</x:v>
      </x:c>
      <x:c r="J196" s="1" t="str">
        <x:v>Binding pending</x:v>
      </x:c>
      <x:c r="K196" s="1" t="str">
        <x:v>gallery-buildout/creatures/Mob_Gallery_GildedFrameMimic.glb</x:v>
      </x:c>
      <x:c r="L196" s="1" t="str">
        <x:v>ae02b5dd46ef21d397b175f2b371bf3dfcac77f4bf90e5021e909ee6c1a9cdb2</x:v>
      </x:c>
      <x:c r="M196" s="16" t="n">
        <x:v>1</x:v>
      </x:c>
      <x:c r="N196" s="1" t="str">
        <x:v>n.a.</x:v>
      </x:c>
      <x:c r="O196" s="1" t="str">
        <x:v>n.a.</x:v>
      </x:c>
      <x:c r="P196" s="1" t="n">
        <x:v>0</x:v>
      </x:c>
    </x:row>
    <x:row r="197" ht="38" customHeight="1">
      <x:c r="A197" s="1" t="str">
        <x:v>Mob_Gallery_SentinelBust</x:v>
      </x:c>
      <x:c r="B197" s="1" t="str">
        <x:v>Character</x:v>
      </x:c>
      <x:c r="C197" s="1" t="str">
        <x:v>Gallery City</x:v>
      </x:c>
      <x:c r="D197" s="5" t="str">
        <x:v>Marble sentinel</x:v>
      </x:c>
      <x:c r="E197" s="7" t="n">
        <x:v>2284</x:v>
      </x:c>
      <x:c r="F197" s="1" t="str">
        <x:v>GalleryCreatureV1</x:v>
      </x:c>
      <x:c r="G197" s="5" t="str">
        <x:v>Idle, Walk, Attack, Hurt</x:v>
      </x:c>
      <x:c r="H197" s="1" t="str">
        <x:v>Validated</x:v>
      </x:c>
      <x:c r="I197" s="1" t="str">
        <x:v>Pending</x:v>
      </x:c>
      <x:c r="J197" s="1" t="str">
        <x:v>Binding pending</x:v>
      </x:c>
      <x:c r="K197" s="1" t="str">
        <x:v>gallery-buildout/creatures/Mob_Gallery_SentinelBust.glb</x:v>
      </x:c>
      <x:c r="L197" s="1" t="str">
        <x:v>364e2856aca5677ba421415b771ab2be005145fb6aa362f4945306e462e027fe</x:v>
      </x:c>
      <x:c r="M197" s="16" t="n">
        <x:v>1</x:v>
      </x:c>
      <x:c r="N197" s="1" t="str">
        <x:v>n.a.</x:v>
      </x:c>
      <x:c r="O197" s="1" t="str">
        <x:v>n.a.</x:v>
      </x:c>
      <x:c r="P197" s="1" t="n">
        <x:v>0</x:v>
      </x:c>
    </x:row>
    <x:row r="198" ht="38" customHeight="1">
      <x:c r="A198" s="1" t="str">
        <x:v>Mob_Gallery_LightProjection</x:v>
      </x:c>
      <x:c r="B198" s="1" t="str">
        <x:v>Character</x:v>
      </x:c>
      <x:c r="C198" s="1" t="str">
        <x:v>Gallery City</x:v>
      </x:c>
      <x:c r="D198" s="5" t="str">
        <x:v>Colour construct; replaces spooky wraith proposal</x:v>
      </x:c>
      <x:c r="E198" s="7" t="n">
        <x:v>1094</x:v>
      </x:c>
      <x:c r="F198" s="1" t="str">
        <x:v>GalleryCreatureV1</x:v>
      </x:c>
      <x:c r="G198" s="5" t="str">
        <x:v>Idle, Walk, Attack, Hurt</x:v>
      </x:c>
      <x:c r="H198" s="1" t="str">
        <x:v>Validated</x:v>
      </x:c>
      <x:c r="I198" s="1" t="str">
        <x:v>Pending</x:v>
      </x:c>
      <x:c r="J198" s="1" t="str">
        <x:v>Binding pending</x:v>
      </x:c>
      <x:c r="K198" s="1" t="str">
        <x:v>gallery-buildout/creatures/Mob_Gallery_LightProjection.glb</x:v>
      </x:c>
      <x:c r="L198" s="1" t="str">
        <x:v>3dc0582f65739454caba05f6a894a125be692b63bf1dda185a118cdbe96ccae2</x:v>
      </x:c>
      <x:c r="M198" s="16" t="n">
        <x:v>1</x:v>
      </x:c>
      <x:c r="N198" s="1" t="str">
        <x:v>n.a.</x:v>
      </x:c>
      <x:c r="O198" s="1" t="str">
        <x:v>n.a.</x:v>
      </x:c>
      <x:c r="P198" s="1" t="n">
        <x:v>0</x:v>
      </x:c>
    </x:row>
    <x:row r="199" ht="38" customHeight="1">
      <x:c r="A199" s="1" t="str">
        <x:v>Mob_Gallery_GreyWash</x:v>
      </x:c>
      <x:c r="B199" s="1" t="str">
        <x:v>Character</x:v>
      </x:c>
      <x:c r="C199" s="1" t="str">
        <x:v>Gallery City</x:v>
      </x:c>
      <x:c r="D199" s="5" t="str">
        <x:v>Colour-draining boss proposal</x:v>
      </x:c>
      <x:c r="E199" s="7" t="n">
        <x:v>2688</x:v>
      </x:c>
      <x:c r="F199" s="1" t="str">
        <x:v>GalleryCreatureV1</x:v>
      </x:c>
      <x:c r="G199" s="5" t="str">
        <x:v>Idle, Walk, Attack, Hurt</x:v>
      </x:c>
      <x:c r="H199" s="1" t="str">
        <x:v>Validated</x:v>
      </x:c>
      <x:c r="I199" s="1" t="str">
        <x:v>Pending</x:v>
      </x:c>
      <x:c r="J199" s="1" t="str">
        <x:v>Binding pending</x:v>
      </x:c>
      <x:c r="K199" s="1" t="str">
        <x:v>gallery-buildout/creatures/Mob_Gallery_GreyWash.glb</x:v>
      </x:c>
      <x:c r="L199" s="1" t="str">
        <x:v>b9d62c02824c01b9cec55b5798884d7172fa0720655c1adfe9fb8ef95b4dfef2</x:v>
      </x:c>
      <x:c r="M199" s="16" t="n">
        <x:v>1</x:v>
      </x:c>
      <x:c r="N199" s="1" t="str">
        <x:v>n.a.</x:v>
      </x:c>
      <x:c r="O199" s="1" t="str">
        <x:v>n.a.</x:v>
      </x:c>
      <x:c r="P199" s="1" t="n">
        <x:v>0</x:v>
      </x:c>
    </x:row>
    <x:row r="200" ht="38" customHeight="1">
      <x:c r="A200" s="1" t="str">
        <x:v>Mob_Gallery_PaperCrane</x:v>
      </x:c>
      <x:c r="B200" s="1" t="str">
        <x:v>Character</x:v>
      </x:c>
      <x:c r="C200" s="1" t="str">
        <x:v>Gallery City</x:v>
      </x:c>
      <x:c r="D200" s="5" t="str">
        <x:v>Ambient origami bird</x:v>
      </x:c>
      <x:c r="E200" s="7" t="n">
        <x:v>1504</x:v>
      </x:c>
      <x:c r="F200" s="1" t="str">
        <x:v>GalleryCreatureV1</x:v>
      </x:c>
      <x:c r="G200" s="5" t="str">
        <x:v>Idle, Walk, Attack, Hurt</x:v>
      </x:c>
      <x:c r="H200" s="1" t="str">
        <x:v>Validated</x:v>
      </x:c>
      <x:c r="I200" s="1" t="str">
        <x:v>Pending</x:v>
      </x:c>
      <x:c r="J200" s="1" t="str">
        <x:v>Binding pending</x:v>
      </x:c>
      <x:c r="K200" s="1" t="str">
        <x:v>gallery-buildout/creatures/Mob_Gallery_PaperCrane.glb</x:v>
      </x:c>
      <x:c r="L200" s="1" t="str">
        <x:v>38c8b6eccee1d0aa7d0043f370f00c7fcc4d077dedefb9a500897600af734423</x:v>
      </x:c>
      <x:c r="M200" s="16" t="n">
        <x:v>1</x:v>
      </x:c>
      <x:c r="N200" s="1" t="str">
        <x:v>n.a.</x:v>
      </x:c>
      <x:c r="O200" s="1" t="str">
        <x:v>n.a.</x:v>
      </x:c>
      <x:c r="P200" s="1" t="n">
        <x:v>0</x:v>
      </x:c>
    </x:row>
    <x:row r="201" ht="38" customHeight="1">
      <x:c r="A201" s="1" t="str">
        <x:v>Mob_Gallery_BrushtailSquirrel</x:v>
      </x:c>
      <x:c r="B201" s="1" t="str">
        <x:v>Character</x:v>
      </x:c>
      <x:c r="C201" s="1" t="str">
        <x:v>Gallery City</x:v>
      </x:c>
      <x:c r="D201" s="5" t="str">
        <x:v>Ambient brush-tailed animal</x:v>
      </x:c>
      <x:c r="E201" s="7" t="n">
        <x:v>1616</x:v>
      </x:c>
      <x:c r="F201" s="1" t="str">
        <x:v>GalleryCreatureV1</x:v>
      </x:c>
      <x:c r="G201" s="5" t="str">
        <x:v>Idle, Walk, Attack, Hurt</x:v>
      </x:c>
      <x:c r="H201" s="1" t="str">
        <x:v>Validated</x:v>
      </x:c>
      <x:c r="I201" s="1" t="str">
        <x:v>Pending</x:v>
      </x:c>
      <x:c r="J201" s="1" t="str">
        <x:v>Binding pending</x:v>
      </x:c>
      <x:c r="K201" s="1" t="str">
        <x:v>gallery-buildout/creatures/Mob_Gallery_BrushtailSquirrel.glb</x:v>
      </x:c>
      <x:c r="L201" s="1" t="str">
        <x:v>9577e76109873fc3475ed8a86a4e36e164f187f7178695f126019c224ba08903</x:v>
      </x:c>
      <x:c r="M201" s="16" t="n">
        <x:v>1</x:v>
      </x:c>
      <x:c r="N201" s="1" t="str">
        <x:v>n.a.</x:v>
      </x:c>
      <x:c r="O201" s="1" t="str">
        <x:v>n.a.</x:v>
      </x:c>
      <x:c r="P201" s="1" t="n">
        <x:v>0</x:v>
      </x:c>
    </x:row>
    <x:row r="202" ht="38" customHeight="1">
      <x:c r="A202" s="1" t="str">
        <x:v>Mob_Gallery_GalleryDrone</x:v>
      </x:c>
      <x:c r="B202" s="1" t="str">
        <x:v>Character</x:v>
      </x:c>
      <x:c r="C202" s="1" t="str">
        <x:v>Gallery City</x:v>
      </x:c>
      <x:c r="D202" s="5" t="str">
        <x:v>Realm mount; flight pending</x:v>
      </x:c>
      <x:c r="E202" s="7" t="n">
        <x:v>1272</x:v>
      </x:c>
      <x:c r="F202" s="1" t="str">
        <x:v>GalleryCreatureV1</x:v>
      </x:c>
      <x:c r="G202" s="5" t="str">
        <x:v>Idle, Walk, Attack, Hurt</x:v>
      </x:c>
      <x:c r="H202" s="1" t="str">
        <x:v>Validated</x:v>
      </x:c>
      <x:c r="I202" s="1" t="str">
        <x:v>Pending</x:v>
      </x:c>
      <x:c r="J202" s="1" t="str">
        <x:v>Binding pending</x:v>
      </x:c>
      <x:c r="K202" s="1" t="str">
        <x:v>gallery-buildout/creatures/Mob_Gallery_GalleryDrone.glb</x:v>
      </x:c>
      <x:c r="L202" s="1" t="str">
        <x:v>490d1de4a25460846816441dd866036f7f018585824bbedcba00f10edb595fe1</x:v>
      </x:c>
      <x:c r="M202" s="16" t="n">
        <x:v>1</x:v>
      </x:c>
      <x:c r="N202" s="1" t="str">
        <x:v>n.a.</x:v>
      </x:c>
      <x:c r="O202" s="1" t="str">
        <x:v>n.a.</x:v>
      </x:c>
      <x:c r="P202" s="1" t="n">
        <x:v>0</x:v>
      </x:c>
    </x:row>
    <x:row r="203" ht="38" customHeight="1">
      <x:c r="A203" s="1" t="str">
        <x:v>Mob_Gallery_KiteRay</x:v>
      </x:c>
      <x:c r="B203" s="1" t="str">
        <x:v>Character</x:v>
      </x:c>
      <x:c r="C203" s="1" t="str">
        <x:v>Gallery City</x:v>
      </x:c>
      <x:c r="D203" s="5" t="str">
        <x:v>Gliding companion</x:v>
      </x:c>
      <x:c r="E203" s="7" t="n">
        <x:v>1476</x:v>
      </x:c>
      <x:c r="F203" s="1" t="str">
        <x:v>GalleryCreatureV1</x:v>
      </x:c>
      <x:c r="G203" s="5" t="str">
        <x:v>Idle, Walk, Attack, Hurt</x:v>
      </x:c>
      <x:c r="H203" s="1" t="str">
        <x:v>Validated</x:v>
      </x:c>
      <x:c r="I203" s="1" t="str">
        <x:v>Pending</x:v>
      </x:c>
      <x:c r="J203" s="1" t="str">
        <x:v>Binding pending</x:v>
      </x:c>
      <x:c r="K203" s="1" t="str">
        <x:v>gallery-buildout/creatures/Mob_Gallery_KiteRay.glb</x:v>
      </x:c>
      <x:c r="L203" s="1" t="str">
        <x:v>78bcc541f27646e0917fb1411b60ef7640dcb765f81408147ad5e5cfbf98701a</x:v>
      </x:c>
      <x:c r="M203" s="16" t="n">
        <x:v>1</x:v>
      </x:c>
      <x:c r="N203" s="1" t="str">
        <x:v>n.a.</x:v>
      </x:c>
      <x:c r="O203" s="1" t="str">
        <x:v>n.a.</x:v>
      </x:c>
      <x:c r="P203" s="1" t="n">
        <x:v>0</x:v>
      </x:c>
    </x:row>
    <x:row r="204" ht="38" customHeight="1">
      <x:c r="A204" s="1" t="str">
        <x:v>Mob_Gallery_EaselMule</x:v>
      </x:c>
      <x:c r="B204" s="1" t="str">
        <x:v>Character</x:v>
      </x:c>
      <x:c r="C204" s="1" t="str">
        <x:v>Gallery City</x:v>
      </x:c>
      <x:c r="D204" s="5" t="str">
        <x:v>Pack companion</x:v>
      </x:c>
      <x:c r="E204" s="7" t="n">
        <x:v>1480</x:v>
      </x:c>
      <x:c r="F204" s="1" t="str">
        <x:v>GalleryCreatureV1</x:v>
      </x:c>
      <x:c r="G204" s="5" t="str">
        <x:v>Idle, Walk, Attack, Hurt</x:v>
      </x:c>
      <x:c r="H204" s="1" t="str">
        <x:v>Validated</x:v>
      </x:c>
      <x:c r="I204" s="1" t="str">
        <x:v>Pending</x:v>
      </x:c>
      <x:c r="J204" s="1" t="str">
        <x:v>Binding pending</x:v>
      </x:c>
      <x:c r="K204" s="1" t="str">
        <x:v>gallery-buildout/creatures/Mob_Gallery_EaselMule.glb</x:v>
      </x:c>
      <x:c r="L204" s="1" t="str">
        <x:v>8eaf9937c50d8639e0de49bbb04ab90266a7a06180602621563058ee45eb0461</x:v>
      </x:c>
      <x:c r="M204" s="16" t="n">
        <x:v>1</x:v>
      </x:c>
      <x:c r="N204" s="1" t="str">
        <x:v>n.a.</x:v>
      </x:c>
      <x:c r="O204" s="1" t="str">
        <x:v>n.a.</x:v>
      </x:c>
      <x:c r="P204" s="1" t="n">
        <x:v>0</x:v>
      </x:c>
    </x:row>
    <x:row r="205" ht="38" customHeight="1">
      <x:c r="A205" s="1" t="str">
        <x:v>Mob_Gallery_Inkpup</x:v>
      </x:c>
      <x:c r="B205" s="1" t="str">
        <x:v>Character</x:v>
      </x:c>
      <x:c r="C205" s="1" t="str">
        <x:v>Gallery City</x:v>
      </x:c>
      <x:c r="D205" s="5" t="str">
        <x:v>Friendly pet</x:v>
      </x:c>
      <x:c r="E205" s="7" t="n">
        <x:v>1616</x:v>
      </x:c>
      <x:c r="F205" s="1" t="str">
        <x:v>GalleryCreatureV1</x:v>
      </x:c>
      <x:c r="G205" s="5" t="str">
        <x:v>Idle, Walk, Attack, Hurt</x:v>
      </x:c>
      <x:c r="H205" s="1" t="str">
        <x:v>Validated</x:v>
      </x:c>
      <x:c r="I205" s="1" t="str">
        <x:v>Pending</x:v>
      </x:c>
      <x:c r="J205" s="1" t="str">
        <x:v>Binding pending</x:v>
      </x:c>
      <x:c r="K205" s="1" t="str">
        <x:v>gallery-buildout/creatures/Mob_Gallery_Inkpup.glb</x:v>
      </x:c>
      <x:c r="L205" s="1" t="str">
        <x:v>95238d1ccb69ca58b82739a97af5eba416ce8d94fdb6c0bab6cc055656a33619</x:v>
      </x:c>
      <x:c r="M205" s="16" t="n">
        <x:v>1</x:v>
      </x:c>
      <x:c r="N205" s="1" t="str">
        <x:v>n.a.</x:v>
      </x:c>
      <x:c r="O205" s="1" t="str">
        <x:v>n.a.</x:v>
      </x:c>
      <x:c r="P205" s="1" t="n">
        <x:v>0</x:v>
      </x:c>
    </x:row>
    <x:row r="206" ht="38" customHeight="1">
      <x:c r="A206" s="1" t="str">
        <x:v>Mob_Gallery_PrismFinch</x:v>
      </x:c>
      <x:c r="B206" s="1" t="str">
        <x:v>Character</x:v>
      </x:c>
      <x:c r="C206" s="1" t="str">
        <x:v>Gallery City</x:v>
      </x:c>
      <x:c r="D206" s="5" t="str">
        <x:v>Friendly pet</x:v>
      </x:c>
      <x:c r="E206" s="7" t="n">
        <x:v>1474</x:v>
      </x:c>
      <x:c r="F206" s="1" t="str">
        <x:v>GalleryCreatureV1</x:v>
      </x:c>
      <x:c r="G206" s="5" t="str">
        <x:v>Idle, Walk, Attack, Hurt</x:v>
      </x:c>
      <x:c r="H206" s="1" t="str">
        <x:v>Validated</x:v>
      </x:c>
      <x:c r="I206" s="1" t="str">
        <x:v>Pending</x:v>
      </x:c>
      <x:c r="J206" s="1" t="str">
        <x:v>Binding pending</x:v>
      </x:c>
      <x:c r="K206" s="1" t="str">
        <x:v>gallery-buildout/creatures/Mob_Gallery_PrismFinch.glb</x:v>
      </x:c>
      <x:c r="L206" s="1" t="str">
        <x:v>09d0900bf54aa64fffaaf027bfb934f8d6db99b3301f8778c2d00141f3384781</x:v>
      </x:c>
      <x:c r="M206" s="16" t="n">
        <x:v>1</x:v>
      </x:c>
      <x:c r="N206" s="1" t="str">
        <x:v>n.a.</x:v>
      </x:c>
      <x:c r="O206" s="1" t="str">
        <x:v>n.a.</x:v>
      </x:c>
      <x:c r="P206" s="1" t="n">
        <x:v>0</x:v>
      </x:c>
    </x:row>
    <x:row r="207" ht="38" customHeight="1">
      <x:c r="A207" s="1" t="str">
        <x:v>Mob_Gallery_CrayonGecko</x:v>
      </x:c>
      <x:c r="B207" s="1" t="str">
        <x:v>Character</x:v>
      </x:c>
      <x:c r="C207" s="1" t="str">
        <x:v>Gallery City</x:v>
      </x:c>
      <x:c r="D207" s="5" t="str">
        <x:v>Friendly pet</x:v>
      </x:c>
      <x:c r="E207" s="7" t="n">
        <x:v>1416</x:v>
      </x:c>
      <x:c r="F207" s="1" t="str">
        <x:v>GalleryCreatureV1</x:v>
      </x:c>
      <x:c r="G207" s="5" t="str">
        <x:v>Idle, Walk, Attack, Hurt</x:v>
      </x:c>
      <x:c r="H207" s="1" t="str">
        <x:v>Validated</x:v>
      </x:c>
      <x:c r="I207" s="1" t="str">
        <x:v>Pending</x:v>
      </x:c>
      <x:c r="J207" s="1" t="str">
        <x:v>Binding pending</x:v>
      </x:c>
      <x:c r="K207" s="1" t="str">
        <x:v>gallery-buildout/creatures/Mob_Gallery_CrayonGecko.glb</x:v>
      </x:c>
      <x:c r="L207" s="1" t="str">
        <x:v>0ab21f5e561c845a15c26e38f0e303202a17b17df091e90a12ed36b5e55074ca</x:v>
      </x:c>
      <x:c r="M207" s="16" t="n">
        <x:v>1</x:v>
      </x:c>
      <x:c r="N207" s="1" t="str">
        <x:v>n.a.</x:v>
      </x:c>
      <x:c r="O207" s="1" t="str">
        <x:v>n.a.</x:v>
      </x:c>
      <x:c r="P207" s="1" t="n">
        <x:v>0</x:v>
      </x:c>
    </x:row>
    <x:row r="208" ht="38" customHeight="1">
      <x:c r="A208" s="1" t="str">
        <x:v>Mob_Gallery_LampMoth</x:v>
      </x:c>
      <x:c r="B208" s="1" t="str">
        <x:v>Character</x:v>
      </x:c>
      <x:c r="C208" s="1" t="str">
        <x:v>Gallery City</x:v>
      </x:c>
      <x:c r="D208" s="5" t="str">
        <x:v>Friendly pet</x:v>
      </x:c>
      <x:c r="E208" s="7" t="n">
        <x:v>2332</x:v>
      </x:c>
      <x:c r="F208" s="1" t="str">
        <x:v>GalleryCreatureV1</x:v>
      </x:c>
      <x:c r="G208" s="5" t="str">
        <x:v>Idle, Walk, Attack, Hurt</x:v>
      </x:c>
      <x:c r="H208" s="1" t="str">
        <x:v>Validated</x:v>
      </x:c>
      <x:c r="I208" s="1" t="str">
        <x:v>Pending</x:v>
      </x:c>
      <x:c r="J208" s="1" t="str">
        <x:v>Binding pending</x:v>
      </x:c>
      <x:c r="K208" s="1" t="str">
        <x:v>gallery-buildout/creatures/Mob_Gallery_LampMoth.glb</x:v>
      </x:c>
      <x:c r="L208" s="1" t="str">
        <x:v>e695dde4c6417c8abdc9a1bc3d996eadbe8c9a2ad1bbfc1ebdf9033299ded09a</x:v>
      </x:c>
      <x:c r="M208" s="16" t="n">
        <x:v>1</x:v>
      </x:c>
      <x:c r="N208" s="1" t="str">
        <x:v>n.a.</x:v>
      </x:c>
      <x:c r="O208" s="1" t="str">
        <x:v>n.a.</x:v>
      </x:c>
      <x:c r="P208" s="1" t="n">
        <x:v>0</x:v>
      </x:c>
    </x:row>
    <x:row r="209" ht="38" customHeight="1">
      <x:c r="A209" s="1" t="str">
        <x:v>Prop_Gallery_FloorTile</x:v>
      </x:c>
      <x:c r="B209" s="1" t="str">
        <x:v>Prop</x:v>
      </x:c>
      <x:c r="C209" s="1" t="str">
        <x:v>Gallery City</x:v>
      </x:c>
      <x:c r="D209" s="5" t="str">
        <x:v>Walkable floor module</x:v>
      </x:c>
      <x:c r="E209" s="7" t="n">
        <x:v>12</x:v>
      </x:c>
      <x:c r="F209" s="1" t="str">
        <x:v>static</x:v>
      </x:c>
      <x:c r="G209" s="5" t="str"/>
      <x:c r="H209" s="1" t="str">
        <x:v>Validated</x:v>
      </x:c>
      <x:c r="I209" s="1" t="str">
        <x:v>Pending</x:v>
      </x:c>
      <x:c r="J209" s="1" t="str">
        <x:v>Binding pending</x:v>
      </x:c>
      <x:c r="K209" s="1" t="str">
        <x:v>gallery-buildout/environment/Prop_Gallery_FloorTile.glb</x:v>
      </x:c>
      <x:c r="L209" s="1" t="str">
        <x:v>0d8a4d33c41589bca58342d9481326381c1b2f78a8a0c995cb1a1a3d101abf80</x:v>
      </x:c>
      <x:c r="M209" s="16" t="n">
        <x:v>0</x:v>
      </x:c>
      <x:c r="N209" s="1" t="str">
        <x:v>n.a.</x:v>
      </x:c>
      <x:c r="O209" s="1" t="str">
        <x:v>n.a.</x:v>
      </x:c>
      <x:c r="P209" s="1" t="n">
        <x:v>0</x:v>
      </x:c>
    </x:row>
    <x:row r="210" ht="38" customHeight="1">
      <x:c r="A210" s="1" t="str">
        <x:v>Prop_Gallery_MosaicFloor</x:v>
      </x:c>
      <x:c r="B210" s="1" t="str">
        <x:v>Prop</x:v>
      </x:c>
      <x:c r="C210" s="1" t="str">
        <x:v>Gallery City</x:v>
      </x:c>
      <x:c r="D210" s="5" t="str">
        <x:v>Colour tile floor</x:v>
      </x:c>
      <x:c r="E210" s="7" t="n">
        <x:v>408</x:v>
      </x:c>
      <x:c r="F210" s="1" t="str">
        <x:v>static</x:v>
      </x:c>
      <x:c r="G210" s="5" t="str"/>
      <x:c r="H210" s="1" t="str">
        <x:v>Validated</x:v>
      </x:c>
      <x:c r="I210" s="1" t="str">
        <x:v>Pending</x:v>
      </x:c>
      <x:c r="J210" s="1" t="str">
        <x:v>Binding pending</x:v>
      </x:c>
      <x:c r="K210" s="1" t="str">
        <x:v>gallery-buildout/environment/Prop_Gallery_MosaicFloor.glb</x:v>
      </x:c>
      <x:c r="L210" s="1" t="str">
        <x:v>b0c176031f9b282815166ce4f2c4b7a74fb553da62c1c94bba7a86417a66cfee</x:v>
      </x:c>
      <x:c r="M210" s="16" t="n">
        <x:v>0</x:v>
      </x:c>
      <x:c r="N210" s="1" t="str">
        <x:v>n.a.</x:v>
      </x:c>
      <x:c r="O210" s="1" t="str">
        <x:v>n.a.</x:v>
      </x:c>
      <x:c r="P210" s="1" t="n">
        <x:v>0</x:v>
      </x:c>
    </x:row>
    <x:row r="211" ht="38" customHeight="1">
      <x:c r="A211" s="1" t="str">
        <x:v>Prop_Gallery_Walkway</x:v>
      </x:c>
      <x:c r="B211" s="1" t="str">
        <x:v>Prop</x:v>
      </x:c>
      <x:c r="C211" s="1" t="str">
        <x:v>Gallery City</x:v>
      </x:c>
      <x:c r="D211" s="5" t="str">
        <x:v>Hanging walkway</x:v>
      </x:c>
      <x:c r="E211" s="7" t="n">
        <x:v>100</x:v>
      </x:c>
      <x:c r="F211" s="1" t="str">
        <x:v>static</x:v>
      </x:c>
      <x:c r="G211" s="5" t="str"/>
      <x:c r="H211" s="1" t="str">
        <x:v>Validated</x:v>
      </x:c>
      <x:c r="I211" s="1" t="str">
        <x:v>Pending</x:v>
      </x:c>
      <x:c r="J211" s="1" t="str">
        <x:v>Binding pending</x:v>
      </x:c>
      <x:c r="K211" s="1" t="str">
        <x:v>gallery-buildout/environment/Prop_Gallery_Walkway.glb</x:v>
      </x:c>
      <x:c r="L211" s="1" t="str">
        <x:v>dafbaae399a08c8852a7357fab5043696c48e5111a9fd21ffb71a8682a398a73</x:v>
      </x:c>
      <x:c r="M211" s="16" t="n">
        <x:v>0</x:v>
      </x:c>
      <x:c r="N211" s="1" t="str">
        <x:v>n.a.</x:v>
      </x:c>
      <x:c r="O211" s="1" t="str">
        <x:v>n.a.</x:v>
      </x:c>
      <x:c r="P211" s="1" t="n">
        <x:v>0</x:v>
      </x:c>
    </x:row>
    <x:row r="212" ht="38" customHeight="1">
      <x:c r="A212" s="1" t="str">
        <x:v>Prop_Gallery_FrameWall</x:v>
      </x:c>
      <x:c r="B212" s="1" t="str">
        <x:v>Prop</x:v>
      </x:c>
      <x:c r="C212" s="1" t="str">
        <x:v>Gallery City</x:v>
      </x:c>
      <x:c r="D212" s="5" t="str">
        <x:v>Modular framed wall</x:v>
      </x:c>
      <x:c r="E212" s="7" t="n">
        <x:v>232</x:v>
      </x:c>
      <x:c r="F212" s="1" t="str">
        <x:v>static</x:v>
      </x:c>
      <x:c r="G212" s="5" t="str"/>
      <x:c r="H212" s="1" t="str">
        <x:v>Validated</x:v>
      </x:c>
      <x:c r="I212" s="1" t="str">
        <x:v>Pending</x:v>
      </x:c>
      <x:c r="J212" s="1" t="str">
        <x:v>Binding pending</x:v>
      </x:c>
      <x:c r="K212" s="1" t="str">
        <x:v>gallery-buildout/environment/Prop_Gallery_FrameWall.glb</x:v>
      </x:c>
      <x:c r="L212" s="1" t="str">
        <x:v>9d5ae47dc5abc26930d7bafa9fcd11f7e5d1479843e64f892704be5e5b9cae0a</x:v>
      </x:c>
      <x:c r="M212" s="16" t="n">
        <x:v>0</x:v>
      </x:c>
      <x:c r="N212" s="1" t="str">
        <x:v>n.a.</x:v>
      </x:c>
      <x:c r="O212" s="1" t="str">
        <x:v>n.a.</x:v>
      </x:c>
      <x:c r="P212" s="1" t="n">
        <x:v>0</x:v>
      </x:c>
    </x:row>
    <x:row r="213" ht="38" customHeight="1">
      <x:c r="A213" s="1" t="str">
        <x:v>Prop_Gallery_WindowWall</x:v>
      </x:c>
      <x:c r="B213" s="1" t="str">
        <x:v>Prop</x:v>
      </x:c>
      <x:c r="C213" s="1" t="str">
        <x:v>Gallery City</x:v>
      </x:c>
      <x:c r="D213" s="5" t="str">
        <x:v>Window wall</x:v>
      </x:c>
      <x:c r="E213" s="7" t="n">
        <x:v>276</x:v>
      </x:c>
      <x:c r="F213" s="1" t="str">
        <x:v>static</x:v>
      </x:c>
      <x:c r="G213" s="5" t="str"/>
      <x:c r="H213" s="1" t="str">
        <x:v>Validated</x:v>
      </x:c>
      <x:c r="I213" s="1" t="str">
        <x:v>Pending</x:v>
      </x:c>
      <x:c r="J213" s="1" t="str">
        <x:v>Binding pending</x:v>
      </x:c>
      <x:c r="K213" s="1" t="str">
        <x:v>gallery-buildout/environment/Prop_Gallery_WindowWall.glb</x:v>
      </x:c>
      <x:c r="L213" s="1" t="str">
        <x:v>0a487a806dd676c9c96fc529dddcdb551c17e8ae6f1e9f14dc6a60108cd7d93a</x:v>
      </x:c>
      <x:c r="M213" s="16" t="n">
        <x:v>0</x:v>
      </x:c>
      <x:c r="N213" s="1" t="str">
        <x:v>n.a.</x:v>
      </x:c>
      <x:c r="O213" s="1" t="str">
        <x:v>n.a.</x:v>
      </x:c>
      <x:c r="P213" s="1" t="n">
        <x:v>0</x:v>
      </x:c>
    </x:row>
    <x:row r="214" ht="38" customHeight="1">
      <x:c r="A214" s="1" t="str">
        <x:v>Prop_Gallery_DoorFrame</x:v>
      </x:c>
      <x:c r="B214" s="1" t="str">
        <x:v>Prop</x:v>
      </x:c>
      <x:c r="C214" s="1" t="str">
        <x:v>Gallery City</x:v>
      </x:c>
      <x:c r="D214" s="5" t="str">
        <x:v>Clear doorway module</x:v>
      </x:c>
      <x:c r="E214" s="7" t="n">
        <x:v>132</x:v>
      </x:c>
      <x:c r="F214" s="1" t="str">
        <x:v>static</x:v>
      </x:c>
      <x:c r="G214" s="5" t="str"/>
      <x:c r="H214" s="1" t="str">
        <x:v>Validated</x:v>
      </x:c>
      <x:c r="I214" s="1" t="str">
        <x:v>Pending</x:v>
      </x:c>
      <x:c r="J214" s="1" t="str">
        <x:v>Binding pending</x:v>
      </x:c>
      <x:c r="K214" s="1" t="str">
        <x:v>gallery-buildout/environment/Prop_Gallery_DoorFrame.glb</x:v>
      </x:c>
      <x:c r="L214" s="1" t="str">
        <x:v>d8cec4cccb4d9460441ae611e4c06bb58b509232aedf7dab40c5447cde903305</x:v>
      </x:c>
      <x:c r="M214" s="16" t="n">
        <x:v>0</x:v>
      </x:c>
      <x:c r="N214" s="1" t="str">
        <x:v>n.a.</x:v>
      </x:c>
      <x:c r="O214" s="1" t="str">
        <x:v>n.a.</x:v>
      </x:c>
      <x:c r="P214" s="1" t="n">
        <x:v>0</x:v>
      </x:c>
    </x:row>
    <x:row r="215" ht="38" customHeight="1">
      <x:c r="A215" s="1" t="str">
        <x:v>Prop_Gallery_CornerColumn</x:v>
      </x:c>
      <x:c r="B215" s="1" t="str">
        <x:v>Prop</x:v>
      </x:c>
      <x:c r="C215" s="1" t="str">
        <x:v>Gallery City</x:v>
      </x:c>
      <x:c r="D215" s="5" t="str">
        <x:v>Modular corner support</x:v>
      </x:c>
      <x:c r="E215" s="7" t="n">
        <x:v>88</x:v>
      </x:c>
      <x:c r="F215" s="1" t="str">
        <x:v>static</x:v>
      </x:c>
      <x:c r="G215" s="5" t="str"/>
      <x:c r="H215" s="1" t="str">
        <x:v>Validated</x:v>
      </x:c>
      <x:c r="I215" s="1" t="str">
        <x:v>Pending</x:v>
      </x:c>
      <x:c r="J215" s="1" t="str">
        <x:v>Binding pending</x:v>
      </x:c>
      <x:c r="K215" s="1" t="str">
        <x:v>gallery-buildout/environment/Prop_Gallery_CornerColumn.glb</x:v>
      </x:c>
      <x:c r="L215" s="1" t="str">
        <x:v>1611123c9c7214068abb2fe1c41512221048b2e3122d8ce1316897fd02ba188d</x:v>
      </x:c>
      <x:c r="M215" s="16" t="n">
        <x:v>0</x:v>
      </x:c>
      <x:c r="N215" s="1" t="str">
        <x:v>n.a.</x:v>
      </x:c>
      <x:c r="O215" s="1" t="str">
        <x:v>n.a.</x:v>
      </x:c>
      <x:c r="P215" s="1" t="n">
        <x:v>0</x:v>
      </x:c>
    </x:row>
    <x:row r="216" ht="38" customHeight="1">
      <x:c r="A216" s="1" t="str">
        <x:v>Prop_Gallery_Railing</x:v>
      </x:c>
      <x:c r="B216" s="1" t="str">
        <x:v>Prop</x:v>
      </x:c>
      <x:c r="C216" s="1" t="str">
        <x:v>Gallery City</x:v>
      </x:c>
      <x:c r="D216" s="5" t="str">
        <x:v>Walkway boundary</x:v>
      </x:c>
      <x:c r="E216" s="7" t="n">
        <x:v>176</x:v>
      </x:c>
      <x:c r="F216" s="1" t="str">
        <x:v>static</x:v>
      </x:c>
      <x:c r="G216" s="5" t="str"/>
      <x:c r="H216" s="1" t="str">
        <x:v>Validated</x:v>
      </x:c>
      <x:c r="I216" s="1" t="str">
        <x:v>Pending</x:v>
      </x:c>
      <x:c r="J216" s="1" t="str">
        <x:v>Binding pending</x:v>
      </x:c>
      <x:c r="K216" s="1" t="str">
        <x:v>gallery-buildout/environment/Prop_Gallery_Railing.glb</x:v>
      </x:c>
      <x:c r="L216" s="1" t="str">
        <x:v>452e22c1743cbb9f1482bf3de7ee0b7a7c6c0be9d982fb288a5a555ee3b6bbb2</x:v>
      </x:c>
      <x:c r="M216" s="16" t="n">
        <x:v>0</x:v>
      </x:c>
      <x:c r="N216" s="1" t="str">
        <x:v>n.a.</x:v>
      </x:c>
      <x:c r="O216" s="1" t="str">
        <x:v>n.a.</x:v>
      </x:c>
      <x:c r="P216" s="1" t="n">
        <x:v>0</x:v>
      </x:c>
    </x:row>
    <x:row r="217" ht="38" customHeight="1">
      <x:c r="A217" s="1" t="str">
        <x:v>Prop_Gallery_Ramp</x:v>
      </x:c>
      <x:c r="B217" s="1" t="str">
        <x:v>Prop</x:v>
      </x:c>
      <x:c r="C217" s="1" t="str">
        <x:v>Gallery City</x:v>
      </x:c>
      <x:c r="D217" s="5" t="str">
        <x:v>Access ramp</x:v>
      </x:c>
      <x:c r="E217" s="7" t="n">
        <x:v>12</x:v>
      </x:c>
      <x:c r="F217" s="1" t="str">
        <x:v>static</x:v>
      </x:c>
      <x:c r="G217" s="5" t="str"/>
      <x:c r="H217" s="1" t="str">
        <x:v>Validated</x:v>
      </x:c>
      <x:c r="I217" s="1" t="str">
        <x:v>Pending</x:v>
      </x:c>
      <x:c r="J217" s="1" t="str">
        <x:v>Binding pending</x:v>
      </x:c>
      <x:c r="K217" s="1" t="str">
        <x:v>gallery-buildout/environment/Prop_Gallery_Ramp.glb</x:v>
      </x:c>
      <x:c r="L217" s="1" t="str">
        <x:v>06d35c586d5026e5aeb5c9efe4883530763b1333c99fd26758f99fdcb8ae437a</x:v>
      </x:c>
      <x:c r="M217" s="16" t="n">
        <x:v>0</x:v>
      </x:c>
      <x:c r="N217" s="1" t="str">
        <x:v>n.a.</x:v>
      </x:c>
      <x:c r="O217" s="1" t="str">
        <x:v>n.a.</x:v>
      </x:c>
      <x:c r="P217" s="1" t="n">
        <x:v>0</x:v>
      </x:c>
    </x:row>
    <x:row r="218" ht="38" customHeight="1">
      <x:c r="A218" s="1" t="str">
        <x:v>Prop_Gallery_Stairs</x:v>
      </x:c>
      <x:c r="B218" s="1" t="str">
        <x:v>Prop</x:v>
      </x:c>
      <x:c r="C218" s="1" t="str">
        <x:v>Gallery City</x:v>
      </x:c>
      <x:c r="D218" s="5" t="str">
        <x:v>Raised walkway access</x:v>
      </x:c>
      <x:c r="E218" s="7" t="n">
        <x:v>60</x:v>
      </x:c>
      <x:c r="F218" s="1" t="str">
        <x:v>static</x:v>
      </x:c>
      <x:c r="G218" s="5" t="str"/>
      <x:c r="H218" s="1" t="str">
        <x:v>Validated</x:v>
      </x:c>
      <x:c r="I218" s="1" t="str">
        <x:v>Pending</x:v>
      </x:c>
      <x:c r="J218" s="1" t="str">
        <x:v>Binding pending</x:v>
      </x:c>
      <x:c r="K218" s="1" t="str">
        <x:v>gallery-buildout/environment/Prop_Gallery_Stairs.glb</x:v>
      </x:c>
      <x:c r="L218" s="1" t="str">
        <x:v>13e07f9a7c25d8f7e3702d30d862dd391e6e5fe57ff7cbb5139f9734edc8382c</x:v>
      </x:c>
      <x:c r="M218" s="16" t="n">
        <x:v>0</x:v>
      </x:c>
      <x:c r="N218" s="1" t="str">
        <x:v>n.a.</x:v>
      </x:c>
      <x:c r="O218" s="1" t="str">
        <x:v>n.a.</x:v>
      </x:c>
      <x:c r="P218" s="1" t="n">
        <x:v>0</x:v>
      </x:c>
    </x:row>
    <x:row r="219" ht="38" customHeight="1">
      <x:c r="A219" s="1" t="str">
        <x:v>Prop_Gallery_PaintingFrame</x:v>
      </x:c>
      <x:c r="B219" s="1" t="str">
        <x:v>Prop</x:v>
      </x:c>
      <x:c r="C219" s="1" t="str">
        <x:v>Gallery City</x:v>
      </x:c>
      <x:c r="D219" s="5" t="str">
        <x:v>Art display frame</x:v>
      </x:c>
      <x:c r="E219" s="7" t="n">
        <x:v>352</x:v>
      </x:c>
      <x:c r="F219" s="1" t="str">
        <x:v>static</x:v>
      </x:c>
      <x:c r="G219" s="5" t="str"/>
      <x:c r="H219" s="1" t="str">
        <x:v>Validated</x:v>
      </x:c>
      <x:c r="I219" s="1" t="str">
        <x:v>Pending</x:v>
      </x:c>
      <x:c r="J219" s="1" t="str">
        <x:v>Binding pending</x:v>
      </x:c>
      <x:c r="K219" s="1" t="str">
        <x:v>gallery-buildout/environment/Prop_Gallery_PaintingFrame.glb</x:v>
      </x:c>
      <x:c r="L219" s="1" t="str">
        <x:v>f92f63fe9c48924b46fe6e00beb0e2eff99c3f3be3671848bae518a0a9e14003</x:v>
      </x:c>
      <x:c r="M219" s="16" t="n">
        <x:v>0</x:v>
      </x:c>
      <x:c r="N219" s="1" t="str">
        <x:v>n.a.</x:v>
      </x:c>
      <x:c r="O219" s="1" t="str">
        <x:v>n.a.</x:v>
      </x:c>
      <x:c r="P219" s="1" t="n">
        <x:v>0</x:v>
      </x:c>
    </x:row>
    <x:row r="220" ht="38" customHeight="1">
      <x:c r="A220" s="1" t="str">
        <x:v>Prop_Gallery_MuralPanel</x:v>
      </x:c>
      <x:c r="B220" s="1" t="str">
        <x:v>Prop</x:v>
      </x:c>
      <x:c r="C220" s="1" t="str">
        <x:v>Gallery City</x:v>
      </x:c>
      <x:c r="D220" s="5" t="str">
        <x:v>Painted hint surface</x:v>
      </x:c>
      <x:c r="E220" s="7" t="n">
        <x:v>352</x:v>
      </x:c>
      <x:c r="F220" s="1" t="str">
        <x:v>static</x:v>
      </x:c>
      <x:c r="G220" s="5" t="str"/>
      <x:c r="H220" s="1" t="str">
        <x:v>Validated</x:v>
      </x:c>
      <x:c r="I220" s="1" t="str">
        <x:v>Pending</x:v>
      </x:c>
      <x:c r="J220" s="1" t="str">
        <x:v>Binding pending</x:v>
      </x:c>
      <x:c r="K220" s="1" t="str">
        <x:v>gallery-buildout/environment/Prop_Gallery_MuralPanel.glb</x:v>
      </x:c>
      <x:c r="L220" s="1" t="str">
        <x:v>a2179351b6ef29e18a704160a3d3a7d660a3486d1be22ad4dbef9a7182b03e03</x:v>
      </x:c>
      <x:c r="M220" s="16" t="n">
        <x:v>0</x:v>
      </x:c>
      <x:c r="N220" s="1" t="str">
        <x:v>n.a.</x:v>
      </x:c>
      <x:c r="O220" s="1" t="str">
        <x:v>n.a.</x:v>
      </x:c>
      <x:c r="P220" s="1" t="n">
        <x:v>0</x:v>
      </x:c>
    </x:row>
    <x:row r="221" ht="38" customHeight="1">
      <x:c r="A221" s="1" t="str">
        <x:v>Prop_Gallery_RestorationBench</x:v>
      </x:c>
      <x:c r="B221" s="1" t="str">
        <x:v>Prop</x:v>
      </x:c>
      <x:c r="C221" s="1" t="str">
        <x:v>Gallery City</x:v>
      </x:c>
      <x:c r="D221" s="5" t="str">
        <x:v>Restoration station</x:v>
      </x:c>
      <x:c r="E221" s="7" t="n">
        <x:v>176</x:v>
      </x:c>
      <x:c r="F221" s="1" t="str">
        <x:v>static</x:v>
      </x:c>
      <x:c r="G221" s="5" t="str"/>
      <x:c r="H221" s="1" t="str">
        <x:v>Validated</x:v>
      </x:c>
      <x:c r="I221" s="1" t="str">
        <x:v>Pending</x:v>
      </x:c>
      <x:c r="J221" s="1" t="str">
        <x:v>Binding pending</x:v>
      </x:c>
      <x:c r="K221" s="1" t="str">
        <x:v>gallery-buildout/environment/Prop_Gallery_RestorationBench.glb</x:v>
      </x:c>
      <x:c r="L221" s="1" t="str">
        <x:v>70cb02477ea9bd06d39d3226cb9a2dc50219af30a4bcdb6579fa41e832f3fff9</x:v>
      </x:c>
      <x:c r="M221" s="16" t="n">
        <x:v>0</x:v>
      </x:c>
      <x:c r="N221" s="1" t="str">
        <x:v>n.a.</x:v>
      </x:c>
      <x:c r="O221" s="1" t="str">
        <x:v>n.a.</x:v>
      </x:c>
      <x:c r="P221" s="1" t="n">
        <x:v>0</x:v>
      </x:c>
    </x:row>
    <x:row r="222" ht="38" customHeight="1">
      <x:c r="A222" s="1" t="str">
        <x:v>Prop_Gallery_PigmentCrate</x:v>
      </x:c>
      <x:c r="B222" s="1" t="str">
        <x:v>Prop</x:v>
      </x:c>
      <x:c r="C222" s="1" t="str">
        <x:v>Gallery City</x:v>
      </x:c>
      <x:c r="D222" s="5" t="str">
        <x:v>Craft supplies presentation</x:v>
      </x:c>
      <x:c r="E222" s="7" t="n">
        <x:v>152</x:v>
      </x:c>
      <x:c r="F222" s="1" t="str">
        <x:v>static</x:v>
      </x:c>
      <x:c r="G222" s="5" t="str"/>
      <x:c r="H222" s="1" t="str">
        <x:v>Validated</x:v>
      </x:c>
      <x:c r="I222" s="1" t="str">
        <x:v>Pending</x:v>
      </x:c>
      <x:c r="J222" s="1" t="str">
        <x:v>Binding pending</x:v>
      </x:c>
      <x:c r="K222" s="1" t="str">
        <x:v>gallery-buildout/environment/Prop_Gallery_PigmentCrate.glb</x:v>
      </x:c>
      <x:c r="L222" s="1" t="str">
        <x:v>8d1ff03c888a128481c798e51b48bca8ff2967930808c420bb520003e4921e61</x:v>
      </x:c>
      <x:c r="M222" s="16" t="n">
        <x:v>0</x:v>
      </x:c>
      <x:c r="N222" s="1" t="str">
        <x:v>n.a.</x:v>
      </x:c>
      <x:c r="O222" s="1" t="str">
        <x:v>n.a.</x:v>
      </x:c>
      <x:c r="P222" s="1" t="n">
        <x:v>0</x:v>
      </x:c>
    </x:row>
    <x:row r="223" ht="38" customHeight="1">
      <x:c r="A223" s="1" t="str">
        <x:v>Prop_Gallery_BrushRack</x:v>
      </x:c>
      <x:c r="B223" s="1" t="str">
        <x:v>Prop</x:v>
      </x:c>
      <x:c r="C223" s="1" t="str">
        <x:v>Gallery City</x:v>
      </x:c>
      <x:c r="D223" s="5" t="str">
        <x:v>Tool display</x:v>
      </x:c>
      <x:c r="E223" s="7" t="n">
        <x:v>332</x:v>
      </x:c>
      <x:c r="F223" s="1" t="str">
        <x:v>static</x:v>
      </x:c>
      <x:c r="G223" s="5" t="str"/>
      <x:c r="H223" s="1" t="str">
        <x:v>Validated</x:v>
      </x:c>
      <x:c r="I223" s="1" t="str">
        <x:v>Pending</x:v>
      </x:c>
      <x:c r="J223" s="1" t="str">
        <x:v>Binding pending</x:v>
      </x:c>
      <x:c r="K223" s="1" t="str">
        <x:v>gallery-buildout/environment/Prop_Gallery_BrushRack.glb</x:v>
      </x:c>
      <x:c r="L223" s="1" t="str">
        <x:v>d743d839602ba389a380e8f1536cf282c897cd4f3a6d381a4cf106c96dab6bd3</x:v>
      </x:c>
      <x:c r="M223" s="16" t="n">
        <x:v>0</x:v>
      </x:c>
      <x:c r="N223" s="1" t="str">
        <x:v>n.a.</x:v>
      </x:c>
      <x:c r="O223" s="1" t="str">
        <x:v>n.a.</x:v>
      </x:c>
      <x:c r="P223" s="1" t="n">
        <x:v>0</x:v>
      </x:c>
    </x:row>
    <x:row r="224" ht="38" customHeight="1">
      <x:c r="A224" s="1" t="str">
        <x:v>Prop_Gallery_VarnishStation</x:v>
      </x:c>
      <x:c r="B224" s="1" t="str">
        <x:v>Prop</x:v>
      </x:c>
      <x:c r="C224" s="1" t="str">
        <x:v>Gallery City</x:v>
      </x:c>
      <x:c r="D224" s="5" t="str">
        <x:v>Painting protection station</x:v>
      </x:c>
      <x:c r="E224" s="7" t="n">
        <x:v>196</x:v>
      </x:c>
      <x:c r="F224" s="1" t="str">
        <x:v>static</x:v>
      </x:c>
      <x:c r="G224" s="5" t="str"/>
      <x:c r="H224" s="1" t="str">
        <x:v>Validated</x:v>
      </x:c>
      <x:c r="I224" s="1" t="str">
        <x:v>Pending</x:v>
      </x:c>
      <x:c r="J224" s="1" t="str">
        <x:v>Binding pending</x:v>
      </x:c>
      <x:c r="K224" s="1" t="str">
        <x:v>gallery-buildout/environment/Prop_Gallery_VarnishStation.glb</x:v>
      </x:c>
      <x:c r="L224" s="1" t="str">
        <x:v>ca2a1e73e2b365823ccaf8f2baeb6c27fe9d5e8e195b102792eaff158c47cbe1</x:v>
      </x:c>
      <x:c r="M224" s="16" t="n">
        <x:v>0</x:v>
      </x:c>
      <x:c r="N224" s="1" t="str">
        <x:v>n.a.</x:v>
      </x:c>
      <x:c r="O224" s="1" t="str">
        <x:v>n.a.</x:v>
      </x:c>
      <x:c r="P224" s="1" t="n">
        <x:v>0</x:v>
      </x:c>
    </x:row>
    <x:row r="225" ht="38" customHeight="1">
      <x:c r="A225" s="1" t="str">
        <x:v>Prop_Gallery_TailorStand</x:v>
      </x:c>
      <x:c r="B225" s="1" t="str">
        <x:v>Prop</x:v>
      </x:c>
      <x:c r="C225" s="1" t="str">
        <x:v>Gallery City</x:v>
      </x:c>
      <x:c r="D225" s="5" t="str">
        <x:v>Cosmetic station</x:v>
      </x:c>
      <x:c r="E225" s="7" t="n">
        <x:v>168</x:v>
      </x:c>
      <x:c r="F225" s="1" t="str">
        <x:v>static</x:v>
      </x:c>
      <x:c r="G225" s="5" t="str"/>
      <x:c r="H225" s="1" t="str">
        <x:v>Validated</x:v>
      </x:c>
      <x:c r="I225" s="1" t="str">
        <x:v>Pending</x:v>
      </x:c>
      <x:c r="J225" s="1" t="str">
        <x:v>Binding pending</x:v>
      </x:c>
      <x:c r="K225" s="1" t="str">
        <x:v>gallery-buildout/environment/Prop_Gallery_TailorStand.glb</x:v>
      </x:c>
      <x:c r="L225" s="1" t="str">
        <x:v>7efcdd22abaa7bb0e1c91bb2afe7df138d33291f84ad38911bdc07e0d59e9b18</x:v>
      </x:c>
      <x:c r="M225" s="16" t="n">
        <x:v>0</x:v>
      </x:c>
      <x:c r="N225" s="1" t="str">
        <x:v>n.a.</x:v>
      </x:c>
      <x:c r="O225" s="1" t="str">
        <x:v>n.a.</x:v>
      </x:c>
      <x:c r="P225" s="1" t="n">
        <x:v>0</x:v>
      </x:c>
    </x:row>
    <x:row r="226" ht="38" customHeight="1">
      <x:c r="A226" s="1" t="str">
        <x:v>Prop_Gallery_CriticLectern</x:v>
      </x:c>
      <x:c r="B226" s="1" t="str">
        <x:v>Prop</x:v>
      </x:c>
      <x:c r="C226" s="1" t="str">
        <x:v>Gallery City</x:v>
      </x:c>
      <x:c r="D226" s="5" t="str">
        <x:v>Build review station</x:v>
      </x:c>
      <x:c r="E226" s="7" t="n">
        <x:v>132</x:v>
      </x:c>
      <x:c r="F226" s="1" t="str">
        <x:v>static</x:v>
      </x:c>
      <x:c r="G226" s="5" t="str"/>
      <x:c r="H226" s="1" t="str">
        <x:v>Validated</x:v>
      </x:c>
      <x:c r="I226" s="1" t="str">
        <x:v>Pending</x:v>
      </x:c>
      <x:c r="J226" s="1" t="str">
        <x:v>Binding pending</x:v>
      </x:c>
      <x:c r="K226" s="1" t="str">
        <x:v>gallery-buildout/environment/Prop_Gallery_CriticLectern.glb</x:v>
      </x:c>
      <x:c r="L226" s="1" t="str">
        <x:v>76b0f7fd9e250e4eef6ef47f13c988a3a047c34fd174af3f6eb74117b1387f84</x:v>
      </x:c>
      <x:c r="M226" s="16" t="n">
        <x:v>0</x:v>
      </x:c>
      <x:c r="N226" s="1" t="str">
        <x:v>n.a.</x:v>
      </x:c>
      <x:c r="O226" s="1" t="str">
        <x:v>n.a.</x:v>
      </x:c>
      <x:c r="P226" s="1" t="n">
        <x:v>0</x:v>
      </x:c>
    </x:row>
    <x:row r="227" ht="38" customHeight="1">
      <x:c r="A227" s="1" t="str">
        <x:v>Prop_Gallery_DroneDock</x:v>
      </x:c>
      <x:c r="B227" s="1" t="str">
        <x:v>Prop</x:v>
      </x:c>
      <x:c r="C227" s="1" t="str">
        <x:v>Gallery City</x:v>
      </x:c>
      <x:c r="D227" s="5" t="str">
        <x:v>Mount pickup presentation</x:v>
      </x:c>
      <x:c r="E227" s="7" t="n">
        <x:v>292</x:v>
      </x:c>
      <x:c r="F227" s="1" t="str">
        <x:v>static</x:v>
      </x:c>
      <x:c r="G227" s="5" t="str"/>
      <x:c r="H227" s="1" t="str">
        <x:v>Validated</x:v>
      </x:c>
      <x:c r="I227" s="1" t="str">
        <x:v>Pending</x:v>
      </x:c>
      <x:c r="J227" s="1" t="str">
        <x:v>Binding pending</x:v>
      </x:c>
      <x:c r="K227" s="1" t="str">
        <x:v>gallery-buildout/environment/Prop_Gallery_DroneDock.glb</x:v>
      </x:c>
      <x:c r="L227" s="1" t="str">
        <x:v>28d3e3b0170212303c90aed4b7194f8bb656990f8d3c2553bfc69612def727dc</x:v>
      </x:c>
      <x:c r="M227" s="16" t="n">
        <x:v>0</x:v>
      </x:c>
      <x:c r="N227" s="1" t="str">
        <x:v>n.a.</x:v>
      </x:c>
      <x:c r="O227" s="1" t="str">
        <x:v>n.a.</x:v>
      </x:c>
      <x:c r="P227" s="1" t="n">
        <x:v>0</x:v>
      </x:c>
    </x:row>
    <x:row r="228" ht="38" customHeight="1">
      <x:c r="A228" s="1" t="str">
        <x:v>Prop_Gallery_DroneRepairBench</x:v>
      </x:c>
      <x:c r="B228" s="1" t="str">
        <x:v>Prop</x:v>
      </x:c>
      <x:c r="C228" s="1" t="str">
        <x:v>Gallery City</x:v>
      </x:c>
      <x:c r="D228" s="5" t="str">
        <x:v>Mount repair station</x:v>
      </x:c>
      <x:c r="E228" s="7" t="n">
        <x:v>324</x:v>
      </x:c>
      <x:c r="F228" s="1" t="str">
        <x:v>static</x:v>
      </x:c>
      <x:c r="G228" s="5" t="str"/>
      <x:c r="H228" s="1" t="str">
        <x:v>Validated</x:v>
      </x:c>
      <x:c r="I228" s="1" t="str">
        <x:v>Pending</x:v>
      </x:c>
      <x:c r="J228" s="1" t="str">
        <x:v>Binding pending</x:v>
      </x:c>
      <x:c r="K228" s="1" t="str">
        <x:v>gallery-buildout/environment/Prop_Gallery_DroneRepairBench.glb</x:v>
      </x:c>
      <x:c r="L228" s="1" t="str">
        <x:v>0a7959d54210842e0df385ff0bcd2afa424989900c7502148a74581891af9eb8</x:v>
      </x:c>
      <x:c r="M228" s="16" t="n">
        <x:v>0</x:v>
      </x:c>
      <x:c r="N228" s="1" t="str">
        <x:v>n.a.</x:v>
      </x:c>
      <x:c r="O228" s="1" t="str">
        <x:v>n.a.</x:v>
      </x:c>
      <x:c r="P228" s="1" t="n">
        <x:v>0</x:v>
      </x:c>
    </x:row>
    <x:row r="229" ht="38" customHeight="1">
      <x:c r="A229" s="1" t="str">
        <x:v>Prop_Gallery_ConcertPlatform</x:v>
      </x:c>
      <x:c r="B229" s="1" t="str">
        <x:v>Prop</x:v>
      </x:c>
      <x:c r="C229" s="1" t="str">
        <x:v>Gallery City</x:v>
      </x:c>
      <x:c r="D229" s="5" t="str">
        <x:v>Touring jukebox performance station</x:v>
      </x:c>
      <x:c r="E229" s="7" t="n">
        <x:v>336</x:v>
      </x:c>
      <x:c r="F229" s="1" t="str">
        <x:v>static</x:v>
      </x:c>
      <x:c r="G229" s="5" t="str"/>
      <x:c r="H229" s="1" t="str">
        <x:v>Validated</x:v>
      </x:c>
      <x:c r="I229" s="1" t="str">
        <x:v>Pending</x:v>
      </x:c>
      <x:c r="J229" s="1" t="str">
        <x:v>Binding pending</x:v>
      </x:c>
      <x:c r="K229" s="1" t="str">
        <x:v>gallery-buildout/environment/Prop_Gallery_ConcertPlatform.glb</x:v>
      </x:c>
      <x:c r="L229" s="1" t="str">
        <x:v>25ce6a97e6b365052c3573d5c965a2b7d287baa45082bb5415735f201b4a447b</x:v>
      </x:c>
      <x:c r="M229" s="16" t="n">
        <x:v>0</x:v>
      </x:c>
      <x:c r="N229" s="1" t="str">
        <x:v>n.a.</x:v>
      </x:c>
      <x:c r="O229" s="1" t="str">
        <x:v>n.a.</x:v>
      </x:c>
      <x:c r="P229" s="1" t="n">
        <x:v>0</x:v>
      </x:c>
    </x:row>
    <x:row r="230" ht="38" customHeight="1">
      <x:c r="A230" s="1" t="str">
        <x:v>Prop_Gallery_RainbowFrame</x:v>
      </x:c>
      <x:c r="B230" s="1" t="str">
        <x:v>Prop</x:v>
      </x:c>
      <x:c r="C230" s="1" t="str">
        <x:v>Gallery City</x:v>
      </x:c>
      <x:c r="D230" s="5" t="str">
        <x:v>Rainbow departure frame</x:v>
      </x:c>
      <x:c r="E230" s="7" t="n">
        <x:v>492</x:v>
      </x:c>
      <x:c r="F230" s="1" t="str">
        <x:v>static</x:v>
      </x:c>
      <x:c r="G230" s="5" t="str"/>
      <x:c r="H230" s="1" t="str">
        <x:v>Validated</x:v>
      </x:c>
      <x:c r="I230" s="1" t="str">
        <x:v>Pending</x:v>
      </x:c>
      <x:c r="J230" s="1" t="str">
        <x:v>Binding pending</x:v>
      </x:c>
      <x:c r="K230" s="1" t="str">
        <x:v>gallery-buildout/environment/Prop_Gallery_RainbowFrame.glb</x:v>
      </x:c>
      <x:c r="L230" s="1" t="str">
        <x:v>82d8cc1b21978e5e5d9b5196d20098b04cdebd84a439ea90541133470a9911db</x:v>
      </x:c>
      <x:c r="M230" s="16" t="n">
        <x:v>0</x:v>
      </x:c>
      <x:c r="N230" s="1" t="str">
        <x:v>n.a.</x:v>
      </x:c>
      <x:c r="O230" s="1" t="str">
        <x:v>n.a.</x:v>
      </x:c>
      <x:c r="P230" s="1" t="n">
        <x:v>0</x:v>
      </x:c>
    </x:row>
    <x:row r="231" ht="38" customHeight="1">
      <x:c r="A231" s="1" t="str">
        <x:v>Prop_Gallery_AirlockEntry</x:v>
      </x:c>
      <x:c r="B231" s="1" t="str">
        <x:v>Prop</x:v>
      </x:c>
      <x:c r="C231" s="1" t="str">
        <x:v>Gallery City</x:v>
      </x:c>
      <x:c r="D231" s="5" t="str">
        <x:v>Underwater dock arrival presentation</x:v>
      </x:c>
      <x:c r="E231" s="7" t="n">
        <x:v>412</x:v>
      </x:c>
      <x:c r="F231" s="1" t="str">
        <x:v>static</x:v>
      </x:c>
      <x:c r="G231" s="5" t="str"/>
      <x:c r="H231" s="1" t="str">
        <x:v>Validated</x:v>
      </x:c>
      <x:c r="I231" s="1" t="str">
        <x:v>Pending</x:v>
      </x:c>
      <x:c r="J231" s="1" t="str">
        <x:v>Binding pending</x:v>
      </x:c>
      <x:c r="K231" s="1" t="str">
        <x:v>gallery-buildout/environment/Prop_Gallery_AirlockEntry.glb</x:v>
      </x:c>
      <x:c r="L231" s="1" t="str">
        <x:v>357d4200bfd5eff30d1dca6bf6124f7f393016cf60ba8950b3dededd3d92d609</x:v>
      </x:c>
      <x:c r="M231" s="16" t="n">
        <x:v>0</x:v>
      </x:c>
      <x:c r="N231" s="1" t="str">
        <x:v>n.a.</x:v>
      </x:c>
      <x:c r="O231" s="1" t="str">
        <x:v>n.a.</x:v>
      </x:c>
      <x:c r="P231" s="1" t="n">
        <x:v>0</x:v>
      </x:c>
    </x:row>
    <x:row r="232" ht="38" customHeight="1">
      <x:c r="A232" s="1" t="str">
        <x:v>Prop_Gallery_QuestNoticeboard</x:v>
      </x:c>
      <x:c r="B232" s="1" t="str">
        <x:v>Prop</x:v>
      </x:c>
      <x:c r="C232" s="1" t="str">
        <x:v>Gallery City</x:v>
      </x:c>
      <x:c r="D232" s="5" t="str">
        <x:v>Readable quest presentation</x:v>
      </x:c>
      <x:c r="E232" s="7" t="n">
        <x:v>440</x:v>
      </x:c>
      <x:c r="F232" s="1" t="str">
        <x:v>static</x:v>
      </x:c>
      <x:c r="G232" s="5" t="str"/>
      <x:c r="H232" s="1" t="str">
        <x:v>Validated</x:v>
      </x:c>
      <x:c r="I232" s="1" t="str">
        <x:v>Pending</x:v>
      </x:c>
      <x:c r="J232" s="1" t="str">
        <x:v>Binding pending</x:v>
      </x:c>
      <x:c r="K232" s="1" t="str">
        <x:v>gallery-buildout/environment/Prop_Gallery_QuestNoticeboard.glb</x:v>
      </x:c>
      <x:c r="L232" s="1" t="str">
        <x:v>70cd56651a278ebffee8f8728bae55b8ba932163ed4415512e33897634d2c414</x:v>
      </x:c>
      <x:c r="M232" s="16" t="n">
        <x:v>0</x:v>
      </x:c>
      <x:c r="N232" s="1" t="str">
        <x:v>n.a.</x:v>
      </x:c>
      <x:c r="O232" s="1" t="str">
        <x:v>n.a.</x:v>
      </x:c>
      <x:c r="P232" s="1" t="n">
        <x:v>0</x:v>
      </x:c>
    </x:row>
    <x:row r="233" ht="38" customHeight="1">
      <x:c r="A233" s="1" t="str">
        <x:v>Mob_Parcels_Courier</x:v>
      </x:c>
      <x:c r="B233" s="1" t="str">
        <x:v>Character</x:v>
      </x:c>
      <x:c r="C233" s="1" t="str">
        <x:v>The Parcels</x:v>
      </x:c>
      <x:c r="D233" s="5" t="str">
        <x:v>Hero parcel courier</x:v>
      </x:c>
      <x:c r="E233" s="7" t="n">
        <x:v>1140</x:v>
      </x:c>
      <x:c r="F233" s="1" t="str">
        <x:v>ParcelsHumanoidV1</x:v>
      </x:c>
      <x:c r="G233" s="5" t="str">
        <x:v>Idle, Walk, Attack, Hurt</x:v>
      </x:c>
      <x:c r="H233" s="1" t="str">
        <x:v>Validated</x:v>
      </x:c>
      <x:c r="I233" s="1" t="str">
        <x:v>Pending</x:v>
      </x:c>
      <x:c r="J233" s="1" t="str">
        <x:v>Binding pending</x:v>
      </x:c>
      <x:c r="K233" s="1" t="str">
        <x:v>parcels-buildout/cast/Mob_Parcels_Courier.glb</x:v>
      </x:c>
      <x:c r="L233" s="1" t="str">
        <x:v>bf0996f414bc81cebfccd237517db84d357fca8112a212a4518ab13ad973fff3</x:v>
      </x:c>
      <x:c r="M233" s="16" t="n">
        <x:v>1</x:v>
      </x:c>
      <x:c r="N233" s="1" t="str">
        <x:v>n.a.</x:v>
      </x:c>
      <x:c r="O233" s="1" t="str">
        <x:v>n.a.</x:v>
      </x:c>
      <x:c r="P233" s="1" t="n">
        <x:v>0</x:v>
      </x:c>
      <x:c r="Q233" s="5" t="str">
        <x:v>Codex original</x:v>
      </x:c>
    </x:row>
    <x:row r="234" ht="38" customHeight="1">
      <x:c r="A234" s="1" t="str">
        <x:v>Mob_Parcels_PostmasterGrue</x:v>
      </x:c>
      <x:c r="B234" s="1" t="str">
        <x:v>Character</x:v>
      </x:c>
      <x:c r="C234" s="1" t="str">
        <x:v>The Parcels</x:v>
      </x:c>
      <x:c r="D234" s="5" t="str">
        <x:v>Delivery quest board</x:v>
      </x:c>
      <x:c r="E234" s="7" t="n">
        <x:v>1088</x:v>
      </x:c>
      <x:c r="F234" s="1" t="str">
        <x:v>ParcelsHumanoidV1</x:v>
      </x:c>
      <x:c r="G234" s="5" t="str">
        <x:v>Idle, Walk, Attack, Hurt</x:v>
      </x:c>
      <x:c r="H234" s="1" t="str">
        <x:v>Validated</x:v>
      </x:c>
      <x:c r="I234" s="1" t="str">
        <x:v>Pending</x:v>
      </x:c>
      <x:c r="J234" s="1" t="str">
        <x:v>Binding pending</x:v>
      </x:c>
      <x:c r="K234" s="1" t="str">
        <x:v>parcels-buildout/cast/Mob_Parcels_PostmasterGrue.glb</x:v>
      </x:c>
      <x:c r="L234" s="1" t="str">
        <x:v>cc9275a50174767d6064b410da673c812eea992c9a6575d94b6518912034345c</x:v>
      </x:c>
      <x:c r="M234" s="16" t="n">
        <x:v>1</x:v>
      </x:c>
      <x:c r="N234" s="1" t="str">
        <x:v>n.a.</x:v>
      </x:c>
      <x:c r="O234" s="1" t="str">
        <x:v>n.a.</x:v>
      </x:c>
      <x:c r="P234" s="1" t="n">
        <x:v>0</x:v>
      </x:c>
      <x:c r="Q234" s="5" t="str">
        <x:v>Codex original</x:v>
      </x:c>
    </x:row>
    <x:row r="235" ht="38" customHeight="1">
      <x:c r="A235" s="1" t="str">
        <x:v>Mob_Parcels_PlotSurveyorIlka</x:v>
      </x:c>
      <x:c r="B235" s="1" t="str">
        <x:v>Character</x:v>
      </x:c>
      <x:c r="C235" s="1" t="str">
        <x:v>The Parcels</x:v>
      </x:c>
      <x:c r="D235" s="5" t="str">
        <x:v>Survey presentation; no deed authority</x:v>
      </x:c>
      <x:c r="E235" s="7" t="n">
        <x:v>1020</x:v>
      </x:c>
      <x:c r="F235" s="1" t="str">
        <x:v>ParcelsHumanoidV1</x:v>
      </x:c>
      <x:c r="G235" s="5" t="str">
        <x:v>Idle, Walk, Attack, Hurt</x:v>
      </x:c>
      <x:c r="H235" s="1" t="str">
        <x:v>Validated</x:v>
      </x:c>
      <x:c r="I235" s="1" t="str">
        <x:v>Pending</x:v>
      </x:c>
      <x:c r="J235" s="1" t="str">
        <x:v>Binding pending</x:v>
      </x:c>
      <x:c r="K235" s="1" t="str">
        <x:v>parcels-buildout/cast/Mob_Parcels_PlotSurveyorIlka.glb</x:v>
      </x:c>
      <x:c r="L235" s="1" t="str">
        <x:v>6dc02e93053d5fc156e68d68745c0ca2b9c70334a7fffcfc7b917d330d53d364</x:v>
      </x:c>
      <x:c r="M235" s="16" t="n">
        <x:v>1</x:v>
      </x:c>
      <x:c r="N235" s="1" t="str">
        <x:v>n.a.</x:v>
      </x:c>
      <x:c r="O235" s="1" t="str">
        <x:v>n.a.</x:v>
      </x:c>
      <x:c r="P235" s="1" t="n">
        <x:v>0</x:v>
      </x:c>
      <x:c r="Q235" s="5" t="str">
        <x:v>Codex original</x:v>
      </x:c>
    </x:row>
    <x:row r="236" ht="38" customHeight="1">
      <x:c r="A236" s="1" t="str">
        <x:v>Mob_Parcels_FenceSmith</x:v>
      </x:c>
      <x:c r="B236" s="1" t="str">
        <x:v>Character</x:v>
      </x:c>
      <x:c r="C236" s="1" t="str">
        <x:v>The Parcels</x:v>
      </x:c>
      <x:c r="D236" s="5" t="str">
        <x:v>Fence crafting</x:v>
      </x:c>
      <x:c r="E236" s="7" t="n">
        <x:v>936</x:v>
      </x:c>
      <x:c r="F236" s="1" t="str">
        <x:v>ParcelsHumanoidV1</x:v>
      </x:c>
      <x:c r="G236" s="5" t="str">
        <x:v>Idle, Walk, Attack, Hurt</x:v>
      </x:c>
      <x:c r="H236" s="1" t="str">
        <x:v>Validated</x:v>
      </x:c>
      <x:c r="I236" s="1" t="str">
        <x:v>Pending</x:v>
      </x:c>
      <x:c r="J236" s="1" t="str">
        <x:v>Binding pending</x:v>
      </x:c>
      <x:c r="K236" s="1" t="str">
        <x:v>parcels-buildout/cast/Mob_Parcels_FenceSmith.glb</x:v>
      </x:c>
      <x:c r="L236" s="1" t="str">
        <x:v>c3c21555e0ed5cf354c44a5097e477dc3c387cceca78c191fb2aac2b887ffcae</x:v>
      </x:c>
      <x:c r="M236" s="16" t="n">
        <x:v>1</x:v>
      </x:c>
      <x:c r="N236" s="1" t="str">
        <x:v>n.a.</x:v>
      </x:c>
      <x:c r="O236" s="1" t="str">
        <x:v>n.a.</x:v>
      </x:c>
      <x:c r="P236" s="1" t="n">
        <x:v>0</x:v>
      </x:c>
      <x:c r="Q236" s="5" t="str">
        <x:v>Codex original</x:v>
      </x:c>
    </x:row>
    <x:row r="237" ht="38" customHeight="1">
      <x:c r="A237" s="1" t="str">
        <x:v>Mob_Parcels_SeedBrokerOtt</x:v>
      </x:c>
      <x:c r="B237" s="1" t="str">
        <x:v>Character</x:v>
      </x:c>
      <x:c r="C237" s="1" t="str">
        <x:v>The Parcels</x:v>
      </x:c>
      <x:c r="D237" s="5" t="str">
        <x:v>Seed supplies</x:v>
      </x:c>
      <x:c r="E237" s="7" t="n">
        <x:v>1092</x:v>
      </x:c>
      <x:c r="F237" s="1" t="str">
        <x:v>ParcelsHumanoidV1</x:v>
      </x:c>
      <x:c r="G237" s="5" t="str">
        <x:v>Idle, Walk, Attack, Hurt</x:v>
      </x:c>
      <x:c r="H237" s="1" t="str">
        <x:v>Validated</x:v>
      </x:c>
      <x:c r="I237" s="1" t="str">
        <x:v>Pending</x:v>
      </x:c>
      <x:c r="J237" s="1" t="str">
        <x:v>Binding pending</x:v>
      </x:c>
      <x:c r="K237" s="1" t="str">
        <x:v>parcels-buildout/cast/Mob_Parcels_SeedBrokerOtt.glb</x:v>
      </x:c>
      <x:c r="L237" s="1" t="str">
        <x:v>ba6f0121e58e93c664487bdbbe913de53b943cdc50f55ee35363e22324de9c55</x:v>
      </x:c>
      <x:c r="M237" s="16" t="n">
        <x:v>1</x:v>
      </x:c>
      <x:c r="N237" s="1" t="str">
        <x:v>n.a.</x:v>
      </x:c>
      <x:c r="O237" s="1" t="str">
        <x:v>n.a.</x:v>
      </x:c>
      <x:c r="P237" s="1" t="n">
        <x:v>0</x:v>
      </x:c>
      <x:c r="Q237" s="5" t="str">
        <x:v>Codex original</x:v>
      </x:c>
    </x:row>
    <x:row r="238" ht="38" customHeight="1">
      <x:c r="A238" s="1" t="str">
        <x:v>Mob_Parcels_ScarecrowElder</x:v>
      </x:c>
      <x:c r="B238" s="1" t="str">
        <x:v>Character</x:v>
      </x:c>
      <x:c r="C238" s="1" t="str">
        <x:v>The Parcels</x:v>
      </x:c>
      <x:c r="D238" s="5" t="str">
        <x:v>Helpful field guide</x:v>
      </x:c>
      <x:c r="E238" s="7" t="n">
        <x:v>1080</x:v>
      </x:c>
      <x:c r="F238" s="1" t="str">
        <x:v>ParcelsHumanoidV1</x:v>
      </x:c>
      <x:c r="G238" s="5" t="str">
        <x:v>Idle, Walk, Attack, Hurt</x:v>
      </x:c>
      <x:c r="H238" s="1" t="str">
        <x:v>Validated</x:v>
      </x:c>
      <x:c r="I238" s="1" t="str">
        <x:v>Pending</x:v>
      </x:c>
      <x:c r="J238" s="1" t="str">
        <x:v>Binding pending</x:v>
      </x:c>
      <x:c r="K238" s="1" t="str">
        <x:v>parcels-buildout/cast/Mob_Parcels_ScarecrowElder.glb</x:v>
      </x:c>
      <x:c r="L238" s="1" t="str">
        <x:v>072136d18cd624b7449acf69a1e126443ace76e47943123b82b8e5722159aa28</x:v>
      </x:c>
      <x:c r="M238" s="16" t="n">
        <x:v>1</x:v>
      </x:c>
      <x:c r="N238" s="1" t="str">
        <x:v>n.a.</x:v>
      </x:c>
      <x:c r="O238" s="1" t="str">
        <x:v>n.a.</x:v>
      </x:c>
      <x:c r="P238" s="1" t="n">
        <x:v>0</x:v>
      </x:c>
      <x:c r="Q238" s="5" t="str">
        <x:v>Codex original</x:v>
      </x:c>
    </x:row>
    <x:row r="239" ht="38" customHeight="1">
      <x:c r="A239" s="1" t="str">
        <x:v>Mob_Parcels_HelipadChiefRosa</x:v>
      </x:c>
      <x:c r="B239" s="1" t="str">
        <x:v>Character</x:v>
      </x:c>
      <x:c r="C239" s="1" t="str">
        <x:v>The Parcels</x:v>
      </x:c>
      <x:c r="D239" s="5" t="str">
        <x:v>Helicopter guidance</x:v>
      </x:c>
      <x:c r="E239" s="7" t="n">
        <x:v>980</x:v>
      </x:c>
      <x:c r="F239" s="1" t="str">
        <x:v>ParcelsHumanoidV1</x:v>
      </x:c>
      <x:c r="G239" s="5" t="str">
        <x:v>Idle, Walk, Attack, Hurt</x:v>
      </x:c>
      <x:c r="H239" s="1" t="str">
        <x:v>Validated</x:v>
      </x:c>
      <x:c r="I239" s="1" t="str">
        <x:v>Pending</x:v>
      </x:c>
      <x:c r="J239" s="1" t="str">
        <x:v>Binding pending</x:v>
      </x:c>
      <x:c r="K239" s="1" t="str">
        <x:v>parcels-buildout/cast/Mob_Parcels_HelipadChiefRosa.glb</x:v>
      </x:c>
      <x:c r="L239" s="1" t="str">
        <x:v>8f66d723b6da8197eeff1e86740ad3e1c42a446aab940349fa90dd0c6a4fae34</x:v>
      </x:c>
      <x:c r="M239" s="16" t="n">
        <x:v>1</x:v>
      </x:c>
      <x:c r="N239" s="1" t="str">
        <x:v>n.a.</x:v>
      </x:c>
      <x:c r="O239" s="1" t="str">
        <x:v>n.a.</x:v>
      </x:c>
      <x:c r="P239" s="1" t="n">
        <x:v>0</x:v>
      </x:c>
      <x:c r="Q239" s="5" t="str">
        <x:v>Codex original</x:v>
      </x:c>
    </x:row>
    <x:row r="240" ht="38" customHeight="1">
      <x:c r="A240" s="1" t="str">
        <x:v>Mob_Parcels_MilkCartTwins</x:v>
      </x:c>
      <x:c r="B240" s="1" t="str">
        <x:v>Character</x:v>
      </x:c>
      <x:c r="C240" s="1" t="str">
        <x:v>The Parcels</x:v>
      </x:c>
      <x:c r="D240" s="5" t="str">
        <x:v>Cart escort role representative</x:v>
      </x:c>
      <x:c r="E240" s="7" t="n">
        <x:v>1164</x:v>
      </x:c>
      <x:c r="F240" s="1" t="str">
        <x:v>ParcelsHumanoidV1</x:v>
      </x:c>
      <x:c r="G240" s="5" t="str">
        <x:v>Idle, Walk, Attack, Hurt</x:v>
      </x:c>
      <x:c r="H240" s="1" t="str">
        <x:v>Validated</x:v>
      </x:c>
      <x:c r="I240" s="1" t="str">
        <x:v>Pending</x:v>
      </x:c>
      <x:c r="J240" s="1" t="str">
        <x:v>Binding pending</x:v>
      </x:c>
      <x:c r="K240" s="1" t="str">
        <x:v>parcels-buildout/cast/Mob_Parcels_MilkCartTwins.glb</x:v>
      </x:c>
      <x:c r="L240" s="1" t="str">
        <x:v>dc3fd8dfd5dc8edad794d5b7e0b4bd8ae864f59b3cef1464b3e95a20f5caa5a5</x:v>
      </x:c>
      <x:c r="M240" s="16" t="n">
        <x:v>1</x:v>
      </x:c>
      <x:c r="N240" s="1" t="str">
        <x:v>n.a.</x:v>
      </x:c>
      <x:c r="O240" s="1" t="str">
        <x:v>n.a.</x:v>
      </x:c>
      <x:c r="P240" s="1" t="n">
        <x:v>0</x:v>
      </x:c>
      <x:c r="Q240" s="5" t="str">
        <x:v>Codex original</x:v>
      </x:c>
    </x:row>
    <x:row r="241" ht="38" customHeight="1">
      <x:c r="A241" s="1" t="str">
        <x:v>Mob_Parcels_LostLetterCourier</x:v>
      </x:c>
      <x:c r="B241" s="1" t="str">
        <x:v>Character</x:v>
      </x:c>
      <x:c r="C241" s="1" t="str">
        <x:v>The Parcels</x:v>
      </x:c>
      <x:c r="D241" s="5" t="str">
        <x:v>Lost letter quest; nonHalloween ghost reinterpretation</x:v>
      </x:c>
      <x:c r="E241" s="7" t="n">
        <x:v>1052</x:v>
      </x:c>
      <x:c r="F241" s="1" t="str">
        <x:v>ParcelsHumanoidV1</x:v>
      </x:c>
      <x:c r="G241" s="5" t="str">
        <x:v>Idle, Walk, Attack, Hurt</x:v>
      </x:c>
      <x:c r="H241" s="1" t="str">
        <x:v>Validated</x:v>
      </x:c>
      <x:c r="I241" s="1" t="str">
        <x:v>Pending</x:v>
      </x:c>
      <x:c r="J241" s="1" t="str">
        <x:v>Binding pending</x:v>
      </x:c>
      <x:c r="K241" s="1" t="str">
        <x:v>parcels-buildout/cast/Mob_Parcels_LostLetterCourier.glb</x:v>
      </x:c>
      <x:c r="L241" s="1" t="str">
        <x:v>b955a27486c3f020fc7e535fa6417dd0b0c6c255352662e44775c832a7fa243c</x:v>
      </x:c>
      <x:c r="M241" s="16" t="n">
        <x:v>1</x:v>
      </x:c>
      <x:c r="N241" s="1" t="str">
        <x:v>n.a.</x:v>
      </x:c>
      <x:c r="O241" s="1" t="str">
        <x:v>n.a.</x:v>
      </x:c>
      <x:c r="P241" s="1" t="n">
        <x:v>0</x:v>
      </x:c>
      <x:c r="Q241" s="5" t="str">
        <x:v>Codex original</x:v>
      </x:c>
    </x:row>
    <x:row r="242" ht="38" customHeight="1">
      <x:c r="A242" s="1" t="str">
        <x:v>Mob_Parcels_BeekeeperHollis</x:v>
      </x:c>
      <x:c r="B242" s="1" t="str">
        <x:v>Character</x:v>
      </x:c>
      <x:c r="C242" s="1" t="str">
        <x:v>The Parcels</x:v>
      </x:c>
      <x:c r="D242" s="5" t="str">
        <x:v>Bee and honey supplies</x:v>
      </x:c>
      <x:c r="E242" s="7" t="n">
        <x:v>1000</x:v>
      </x:c>
      <x:c r="F242" s="1" t="str">
        <x:v>ParcelsHumanoidV1</x:v>
      </x:c>
      <x:c r="G242" s="5" t="str">
        <x:v>Idle, Walk, Attack, Hurt</x:v>
      </x:c>
      <x:c r="H242" s="1" t="str">
        <x:v>Validated</x:v>
      </x:c>
      <x:c r="I242" s="1" t="str">
        <x:v>Pending</x:v>
      </x:c>
      <x:c r="J242" s="1" t="str">
        <x:v>Binding pending</x:v>
      </x:c>
      <x:c r="K242" s="1" t="str">
        <x:v>parcels-buildout/cast/Mob_Parcels_BeekeeperHollis.glb</x:v>
      </x:c>
      <x:c r="L242" s="1" t="str">
        <x:v>e76bdb218217fce1de5b68c338680041c2f2f1e739065f09c648062d61e8aa25</x:v>
      </x:c>
      <x:c r="M242" s="16" t="n">
        <x:v>1</x:v>
      </x:c>
      <x:c r="N242" s="1" t="str">
        <x:v>n.a.</x:v>
      </x:c>
      <x:c r="O242" s="1" t="str">
        <x:v>n.a.</x:v>
      </x:c>
      <x:c r="P242" s="1" t="n">
        <x:v>0</x:v>
      </x:c>
      <x:c r="Q242" s="5" t="str">
        <x:v>Codex original</x:v>
      </x:c>
    </x:row>
    <x:row r="243" ht="38" customHeight="1">
      <x:c r="A243" s="1" t="str">
        <x:v>Mob_Parcels_AuctionCrow</x:v>
      </x:c>
      <x:c r="B243" s="1" t="str">
        <x:v>Character</x:v>
      </x:c>
      <x:c r="C243" s="1" t="str">
        <x:v>The Parcels</x:v>
      </x:c>
      <x:c r="D243" s="5" t="str">
        <x:v>Market role</x:v>
      </x:c>
      <x:c r="E243" s="7" t="n">
        <x:v>980</x:v>
      </x:c>
      <x:c r="F243" s="1" t="str">
        <x:v>ParcelsHumanoidV1</x:v>
      </x:c>
      <x:c r="G243" s="5" t="str">
        <x:v>Idle, Walk, Attack, Hurt</x:v>
      </x:c>
      <x:c r="H243" s="1" t="str">
        <x:v>Validated</x:v>
      </x:c>
      <x:c r="I243" s="1" t="str">
        <x:v>Pending</x:v>
      </x:c>
      <x:c r="J243" s="1" t="str">
        <x:v>Binding pending</x:v>
      </x:c>
      <x:c r="K243" s="1" t="str">
        <x:v>parcels-buildout/cast/Mob_Parcels_AuctionCrow.glb</x:v>
      </x:c>
      <x:c r="L243" s="1" t="str">
        <x:v>49821ce09034ff47180e0eccdf52fbfbdd2fd09e6cfb1c756d656462fdda1c3c</x:v>
      </x:c>
      <x:c r="M243" s="16" t="n">
        <x:v>1</x:v>
      </x:c>
      <x:c r="N243" s="1" t="str">
        <x:v>n.a.</x:v>
      </x:c>
      <x:c r="O243" s="1" t="str">
        <x:v>n.a.</x:v>
      </x:c>
      <x:c r="P243" s="1" t="n">
        <x:v>0</x:v>
      </x:c>
      <x:c r="Q243" s="5" t="str">
        <x:v>Codex original</x:v>
      </x:c>
    </x:row>
    <x:row r="244" ht="38" customHeight="1">
      <x:c r="A244" s="1" t="str">
        <x:v>Mob_Parcels_WeatherVaneKeeper</x:v>
      </x:c>
      <x:c r="B244" s="1" t="str">
        <x:v>Character</x:v>
      </x:c>
      <x:c r="C244" s="1" t="str">
        <x:v>The Parcels</x:v>
      </x:c>
      <x:c r="D244" s="5" t="str">
        <x:v>Storm and crop guidance</x:v>
      </x:c>
      <x:c r="E244" s="7" t="n">
        <x:v>964</x:v>
      </x:c>
      <x:c r="F244" s="1" t="str">
        <x:v>ParcelsHumanoidV1</x:v>
      </x:c>
      <x:c r="G244" s="5" t="str">
        <x:v>Idle, Walk, Attack, Hurt</x:v>
      </x:c>
      <x:c r="H244" s="1" t="str">
        <x:v>Validated</x:v>
      </x:c>
      <x:c r="I244" s="1" t="str">
        <x:v>Pending</x:v>
      </x:c>
      <x:c r="J244" s="1" t="str">
        <x:v>Binding pending</x:v>
      </x:c>
      <x:c r="K244" s="1" t="str">
        <x:v>parcels-buildout/cast/Mob_Parcels_WeatherVaneKeeper.glb</x:v>
      </x:c>
      <x:c r="L244" s="1" t="str">
        <x:v>1013286ffb4fc52965e77f88dd8633d37c988911c68cc97007d0f2f22f7b6e11</x:v>
      </x:c>
      <x:c r="M244" s="16" t="n">
        <x:v>1</x:v>
      </x:c>
      <x:c r="N244" s="1" t="str">
        <x:v>n.a.</x:v>
      </x:c>
      <x:c r="O244" s="1" t="str">
        <x:v>n.a.</x:v>
      </x:c>
      <x:c r="P244" s="1" t="n">
        <x:v>0</x:v>
      </x:c>
      <x:c r="Q244" s="5" t="str">
        <x:v>Codex original</x:v>
      </x:c>
    </x:row>
    <x:row r="245" ht="38" customHeight="1">
      <x:c r="A245" s="1" t="str">
        <x:v>Mob_Parcels_NeighbourFeudPair</x:v>
      </x:c>
      <x:c r="B245" s="1" t="str">
        <x:v>Character</x:v>
      </x:c>
      <x:c r="C245" s="1" t="str">
        <x:v>The Parcels</x:v>
      </x:c>
      <x:c r="D245" s="5" t="str">
        <x:v>Boundary quest representative</x:v>
      </x:c>
      <x:c r="E245" s="7" t="n">
        <x:v>1020</x:v>
      </x:c>
      <x:c r="F245" s="1" t="str">
        <x:v>ParcelsHumanoidV1</x:v>
      </x:c>
      <x:c r="G245" s="5" t="str">
        <x:v>Idle, Walk, Attack, Hurt</x:v>
      </x:c>
      <x:c r="H245" s="1" t="str">
        <x:v>Validated</x:v>
      </x:c>
      <x:c r="I245" s="1" t="str">
        <x:v>Pending</x:v>
      </x:c>
      <x:c r="J245" s="1" t="str">
        <x:v>Binding pending</x:v>
      </x:c>
      <x:c r="K245" s="1" t="str">
        <x:v>parcels-buildout/cast/Mob_Parcels_NeighbourFeudPair.glb</x:v>
      </x:c>
      <x:c r="L245" s="1" t="str">
        <x:v>2651571ddbd7a1c629f8f7ce19ed9b3842ccbfb8e8153dc16c8c47df977a0cd4</x:v>
      </x:c>
      <x:c r="M245" s="16" t="n">
        <x:v>1</x:v>
      </x:c>
      <x:c r="N245" s="1" t="str">
        <x:v>n.a.</x:v>
      </x:c>
      <x:c r="O245" s="1" t="str">
        <x:v>n.a.</x:v>
      </x:c>
      <x:c r="P245" s="1" t="n">
        <x:v>0</x:v>
      </x:c>
      <x:c r="Q245" s="5" t="str">
        <x:v>Codex original</x:v>
      </x:c>
    </x:row>
    <x:row r="246" ht="38" customHeight="1">
      <x:c r="A246" s="1" t="str">
        <x:v>Mob_Parcels_MailboxMimic</x:v>
      </x:c>
      <x:c r="B246" s="1" t="str">
        <x:v>Character</x:v>
      </x:c>
      <x:c r="C246" s="1" t="str">
        <x:v>The Parcels</x:v>
      </x:c>
      <x:c r="D246" s="5" t="str">
        <x:v>Mailbox encounter</x:v>
      </x:c>
      <x:c r="E246" s="7" t="n">
        <x:v>1072</x:v>
      </x:c>
      <x:c r="F246" s="1" t="str">
        <x:v>ParcelsCreatureV1</x:v>
      </x:c>
      <x:c r="G246" s="5" t="str">
        <x:v>Idle, Walk, Attack, Hurt</x:v>
      </x:c>
      <x:c r="H246" s="1" t="str">
        <x:v>Validated</x:v>
      </x:c>
      <x:c r="I246" s="1" t="str">
        <x:v>Pending</x:v>
      </x:c>
      <x:c r="J246" s="1" t="str">
        <x:v>Binding pending</x:v>
      </x:c>
      <x:c r="K246" s="1" t="str">
        <x:v>parcels-buildout/creatures/Mob_Parcels_MailboxMimic.glb</x:v>
      </x:c>
      <x:c r="L246" s="1" t="str">
        <x:v>494fe5a93ef8d3d195c45d690b85308d5c056d3e549c523debd30fa9eea3c0d5</x:v>
      </x:c>
      <x:c r="M246" s="16" t="n">
        <x:v>1</x:v>
      </x:c>
      <x:c r="N246" s="1" t="str">
        <x:v>n.a.</x:v>
      </x:c>
      <x:c r="O246" s="1" t="str">
        <x:v>n.a.</x:v>
      </x:c>
      <x:c r="P246" s="1" t="n">
        <x:v>0</x:v>
      </x:c>
      <x:c r="Q246" s="5" t="str">
        <x:v>Codex original</x:v>
      </x:c>
    </x:row>
    <x:row r="247" ht="38" customHeight="1">
      <x:c r="A247" s="1" t="str">
        <x:v>Mob_Parcels_BurrowVole</x:v>
      </x:c>
      <x:c r="B247" s="1" t="str">
        <x:v>Character</x:v>
      </x:c>
      <x:c r="C247" s="1" t="str">
        <x:v>The Parcels</x:v>
      </x:c>
      <x:c r="D247" s="5" t="str">
        <x:v>Burrowing creature</x:v>
      </x:c>
      <x:c r="E247" s="7" t="n">
        <x:v>1572</x:v>
      </x:c>
      <x:c r="F247" s="1" t="str">
        <x:v>ParcelsCreatureV1</x:v>
      </x:c>
      <x:c r="G247" s="5" t="str">
        <x:v>Idle, Walk, Attack, Hurt</x:v>
      </x:c>
      <x:c r="H247" s="1" t="str">
        <x:v>Validated</x:v>
      </x:c>
      <x:c r="I247" s="1" t="str">
        <x:v>Pending</x:v>
      </x:c>
      <x:c r="J247" s="1" t="str">
        <x:v>Binding pending</x:v>
      </x:c>
      <x:c r="K247" s="1" t="str">
        <x:v>parcels-buildout/creatures/Mob_Parcels_BurrowVole.glb</x:v>
      </x:c>
      <x:c r="L247" s="1" t="str">
        <x:v>fa2fe721b3207185d1eb5725ef23029c388dfa4eb604fff67bfdbc85b622e6a7</x:v>
      </x:c>
      <x:c r="M247" s="16" t="n">
        <x:v>1</x:v>
      </x:c>
      <x:c r="N247" s="1" t="str">
        <x:v>n.a.</x:v>
      </x:c>
      <x:c r="O247" s="1" t="str">
        <x:v>n.a.</x:v>
      </x:c>
      <x:c r="P247" s="1" t="n">
        <x:v>0</x:v>
      </x:c>
      <x:c r="Q247" s="5" t="str">
        <x:v>Codex original</x:v>
      </x:c>
    </x:row>
    <x:row r="248" ht="38" customHeight="1">
      <x:c r="A248" s="1" t="str">
        <x:v>Mob_Parcels_HaySprite</x:v>
      </x:c>
      <x:c r="B248" s="1" t="str">
        <x:v>Character</x:v>
      </x:c>
      <x:c r="C248" s="1" t="str">
        <x:v>The Parcels</x:v>
      </x:c>
      <x:c r="D248" s="5" t="str">
        <x:v>Field creature</x:v>
      </x:c>
      <x:c r="E248" s="7" t="n">
        <x:v>1360</x:v>
      </x:c>
      <x:c r="F248" s="1" t="str">
        <x:v>ParcelsCreatureV1</x:v>
      </x:c>
      <x:c r="G248" s="5" t="str">
        <x:v>Idle, Walk, Attack, Hurt</x:v>
      </x:c>
      <x:c r="H248" s="1" t="str">
        <x:v>Validated</x:v>
      </x:c>
      <x:c r="I248" s="1" t="str">
        <x:v>Pending</x:v>
      </x:c>
      <x:c r="J248" s="1" t="str">
        <x:v>Binding pending</x:v>
      </x:c>
      <x:c r="K248" s="1" t="str">
        <x:v>parcels-buildout/creatures/Mob_Parcels_HaySprite.glb</x:v>
      </x:c>
      <x:c r="L248" s="1" t="str">
        <x:v>57aaf592025a532c3d7d955188c51b3d5d796389f1f88dc80ce7ae78f95faa1e</x:v>
      </x:c>
      <x:c r="M248" s="16" t="n">
        <x:v>1</x:v>
      </x:c>
      <x:c r="N248" s="1" t="str">
        <x:v>n.a.</x:v>
      </x:c>
      <x:c r="O248" s="1" t="str">
        <x:v>n.a.</x:v>
      </x:c>
      <x:c r="P248" s="1" t="n">
        <x:v>0</x:v>
      </x:c>
      <x:c r="Q248" s="5" t="str">
        <x:v>Codex original</x:v>
      </x:c>
    </x:row>
    <x:row r="249" ht="38" customHeight="1">
      <x:c r="A249" s="1" t="str">
        <x:v>Mob_Parcels_ThistleBoar</x:v>
      </x:c>
      <x:c r="B249" s="1" t="str">
        <x:v>Character</x:v>
      </x:c>
      <x:c r="C249" s="1" t="str">
        <x:v>The Parcels</x:v>
      </x:c>
      <x:c r="D249" s="5" t="str">
        <x:v>Briar boar</x:v>
      </x:c>
      <x:c r="E249" s="7" t="n">
        <x:v>1606</x:v>
      </x:c>
      <x:c r="F249" s="1" t="str">
        <x:v>ParcelsCreatureV1</x:v>
      </x:c>
      <x:c r="G249" s="5" t="str">
        <x:v>Idle, Walk, Attack, Hurt</x:v>
      </x:c>
      <x:c r="H249" s="1" t="str">
        <x:v>Validated</x:v>
      </x:c>
      <x:c r="I249" s="1" t="str">
        <x:v>Pending</x:v>
      </x:c>
      <x:c r="J249" s="1" t="str">
        <x:v>Binding pending</x:v>
      </x:c>
      <x:c r="K249" s="1" t="str">
        <x:v>parcels-buildout/creatures/Mob_Parcels_ThistleBoar.glb</x:v>
      </x:c>
      <x:c r="L249" s="1" t="str">
        <x:v>48480b340d372a2c2e1c357660a58d31d572822bcc65822543ac5c5528e4ab3a</x:v>
      </x:c>
      <x:c r="M249" s="16" t="n">
        <x:v>1</x:v>
      </x:c>
      <x:c r="N249" s="1" t="str">
        <x:v>n.a.</x:v>
      </x:c>
      <x:c r="O249" s="1" t="str">
        <x:v>n.a.</x:v>
      </x:c>
      <x:c r="P249" s="1" t="n">
        <x:v>0</x:v>
      </x:c>
      <x:c r="Q249" s="5" t="str">
        <x:v>Codex original</x:v>
      </x:c>
    </x:row>
    <x:row r="250" ht="38" customHeight="1">
      <x:c r="A250" s="1" t="str">
        <x:v>Mob_Parcels_TwineSnake</x:v>
      </x:c>
      <x:c r="B250" s="1" t="str">
        <x:v>Character</x:v>
      </x:c>
      <x:c r="C250" s="1" t="str">
        <x:v>The Parcels</x:v>
      </x:c>
      <x:c r="D250" s="5" t="str">
        <x:v>Twine serpent</x:v>
      </x:c>
      <x:c r="E250" s="7" t="n">
        <x:v>2464</x:v>
      </x:c>
      <x:c r="F250" s="1" t="str">
        <x:v>ParcelsCreatureV1</x:v>
      </x:c>
      <x:c r="G250" s="5" t="str">
        <x:v>Idle, Walk, Attack, Hurt</x:v>
      </x:c>
      <x:c r="H250" s="1" t="str">
        <x:v>Validated</x:v>
      </x:c>
      <x:c r="I250" s="1" t="str">
        <x:v>Pending</x:v>
      </x:c>
      <x:c r="J250" s="1" t="str">
        <x:v>Binding pending</x:v>
      </x:c>
      <x:c r="K250" s="1" t="str">
        <x:v>parcels-buildout/creatures/Mob_Parcels_TwineSnake.glb</x:v>
      </x:c>
      <x:c r="L250" s="1" t="str">
        <x:v>fdde0d64b8797fdfa65aa67978c5ee57e739514f578c32acc63968cc573ae914</x:v>
      </x:c>
      <x:c r="M250" s="16" t="n">
        <x:v>1</x:v>
      </x:c>
      <x:c r="N250" s="1" t="str">
        <x:v>n.a.</x:v>
      </x:c>
      <x:c r="O250" s="1" t="str">
        <x:v>n.a.</x:v>
      </x:c>
      <x:c r="P250" s="1" t="n">
        <x:v>0</x:v>
      </x:c>
      <x:c r="Q250" s="5" t="str">
        <x:v>Codex original</x:v>
      </x:c>
    </x:row>
    <x:row r="251" ht="38" customHeight="1">
      <x:c r="A251" s="1" t="str">
        <x:v>Mob_Parcels_WheelbarrowGolem</x:v>
      </x:c>
      <x:c r="B251" s="1" t="str">
        <x:v>Character</x:v>
      </x:c>
      <x:c r="C251" s="1" t="str">
        <x:v>The Parcels</x:v>
      </x:c>
      <x:c r="D251" s="5" t="str">
        <x:v>Cart creature</x:v>
      </x:c>
      <x:c r="E251" s="7" t="n">
        <x:v>1428</x:v>
      </x:c>
      <x:c r="F251" s="1" t="str">
        <x:v>ParcelsCreatureV1</x:v>
      </x:c>
      <x:c r="G251" s="5" t="str">
        <x:v>Idle, Walk, Attack, Hurt</x:v>
      </x:c>
      <x:c r="H251" s="1" t="str">
        <x:v>Validated</x:v>
      </x:c>
      <x:c r="I251" s="1" t="str">
        <x:v>Pending</x:v>
      </x:c>
      <x:c r="J251" s="1" t="str">
        <x:v>Binding pending</x:v>
      </x:c>
      <x:c r="K251" s="1" t="str">
        <x:v>parcels-buildout/creatures/Mob_Parcels_WheelbarrowGolem.glb</x:v>
      </x:c>
      <x:c r="L251" s="1" t="str">
        <x:v>a16d1d92b4ab43aaea6dda53709c56df0d2429a16118e0d5efff614fcd06c8c7</x:v>
      </x:c>
      <x:c r="M251" s="16" t="n">
        <x:v>1</x:v>
      </x:c>
      <x:c r="N251" s="1" t="str">
        <x:v>n.a.</x:v>
      </x:c>
      <x:c r="O251" s="1" t="str">
        <x:v>n.a.</x:v>
      </x:c>
      <x:c r="P251" s="1" t="n">
        <x:v>0</x:v>
      </x:c>
      <x:c r="Q251" s="5" t="str">
        <x:v>Codex original</x:v>
      </x:c>
    </x:row>
    <x:row r="252" ht="38" customHeight="1">
      <x:c r="A252" s="1" t="str">
        <x:v>Mob_Parcels_StampedeCalf</x:v>
      </x:c>
      <x:c r="B252" s="1" t="str">
        <x:v>Character</x:v>
      </x:c>
      <x:c r="C252" s="1" t="str">
        <x:v>The Parcels</x:v>
      </x:c>
      <x:c r="D252" s="5" t="str">
        <x:v>Field calf</x:v>
      </x:c>
      <x:c r="E252" s="7" t="n">
        <x:v>1572</x:v>
      </x:c>
      <x:c r="F252" s="1" t="str">
        <x:v>ParcelsCreatureV1</x:v>
      </x:c>
      <x:c r="G252" s="5" t="str">
        <x:v>Idle, Walk, Attack, Hurt</x:v>
      </x:c>
      <x:c r="H252" s="1" t="str">
        <x:v>Validated</x:v>
      </x:c>
      <x:c r="I252" s="1" t="str">
        <x:v>Pending</x:v>
      </x:c>
      <x:c r="J252" s="1" t="str">
        <x:v>Binding pending</x:v>
      </x:c>
      <x:c r="K252" s="1" t="str">
        <x:v>parcels-buildout/creatures/Mob_Parcels_StampedeCalf.glb</x:v>
      </x:c>
      <x:c r="L252" s="1" t="str">
        <x:v>01891efc6bc6fe6cd9c0bc1799e41ce0aa3f7a36334a74c2ae2ac82c8cd9477f</x:v>
      </x:c>
      <x:c r="M252" s="16" t="n">
        <x:v>1</x:v>
      </x:c>
      <x:c r="N252" s="1" t="str">
        <x:v>n.a.</x:v>
      </x:c>
      <x:c r="O252" s="1" t="str">
        <x:v>n.a.</x:v>
      </x:c>
      <x:c r="P252" s="1" t="n">
        <x:v>0</x:v>
      </x:c>
      <x:c r="Q252" s="5" t="str">
        <x:v>Codex original</x:v>
      </x:c>
    </x:row>
    <x:row r="253" ht="38" customHeight="1">
      <x:c r="A253" s="1" t="str">
        <x:v>Mob_Parcels_CombineCrab</x:v>
      </x:c>
      <x:c r="B253" s="1" t="str">
        <x:v>Character</x:v>
      </x:c>
      <x:c r="C253" s="1" t="str">
        <x:v>The Parcels</x:v>
      </x:c>
      <x:c r="D253" s="5" t="str">
        <x:v>Machine crab</x:v>
      </x:c>
      <x:c r="E253" s="7" t="n">
        <x:v>1288</x:v>
      </x:c>
      <x:c r="F253" s="1" t="str">
        <x:v>ParcelsCreatureV1</x:v>
      </x:c>
      <x:c r="G253" s="5" t="str">
        <x:v>Idle, Walk, Attack, Hurt</x:v>
      </x:c>
      <x:c r="H253" s="1" t="str">
        <x:v>Validated</x:v>
      </x:c>
      <x:c r="I253" s="1" t="str">
        <x:v>Pending</x:v>
      </x:c>
      <x:c r="J253" s="1" t="str">
        <x:v>Binding pending</x:v>
      </x:c>
      <x:c r="K253" s="1" t="str">
        <x:v>parcels-buildout/creatures/Mob_Parcels_CombineCrab.glb</x:v>
      </x:c>
      <x:c r="L253" s="1" t="str">
        <x:v>eea69b95ab34bd370d9ef3a2c2026cef6bee293371eef421eafe2e29b2b520b4</x:v>
      </x:c>
      <x:c r="M253" s="16" t="n">
        <x:v>1</x:v>
      </x:c>
      <x:c r="N253" s="1" t="str">
        <x:v>n.a.</x:v>
      </x:c>
      <x:c r="O253" s="1" t="str">
        <x:v>n.a.</x:v>
      </x:c>
      <x:c r="P253" s="1" t="n">
        <x:v>0</x:v>
      </x:c>
      <x:c r="Q253" s="5" t="str">
        <x:v>Codex original</x:v>
      </x:c>
    </x:row>
    <x:row r="254" ht="38" customHeight="1">
      <x:c r="A254" s="1" t="str">
        <x:v>Mob_Parcels_RustwingHawk</x:v>
      </x:c>
      <x:c r="B254" s="1" t="str">
        <x:v>Character</x:v>
      </x:c>
      <x:c r="C254" s="1" t="str">
        <x:v>The Parcels</x:v>
      </x:c>
      <x:c r="D254" s="5" t="str">
        <x:v>Field hunter</x:v>
      </x:c>
      <x:c r="E254" s="7" t="n">
        <x:v>1570</x:v>
      </x:c>
      <x:c r="F254" s="1" t="str">
        <x:v>ParcelsCreatureV1</x:v>
      </x:c>
      <x:c r="G254" s="5" t="str">
        <x:v>Idle, Walk, Attack, Hurt</x:v>
      </x:c>
      <x:c r="H254" s="1" t="str">
        <x:v>Validated</x:v>
      </x:c>
      <x:c r="I254" s="1" t="str">
        <x:v>Pending</x:v>
      </x:c>
      <x:c r="J254" s="1" t="str">
        <x:v>Binding pending</x:v>
      </x:c>
      <x:c r="K254" s="1" t="str">
        <x:v>parcels-buildout/creatures/Mob_Parcels_RustwingHawk.glb</x:v>
      </x:c>
      <x:c r="L254" s="1" t="str">
        <x:v>d0141fe508b6e5b4f64c1109f291869a4f6b2f8ad206c287234cab4d26fb2eaa</x:v>
      </x:c>
      <x:c r="M254" s="16" t="n">
        <x:v>1</x:v>
      </x:c>
      <x:c r="N254" s="1" t="str">
        <x:v>n.a.</x:v>
      </x:c>
      <x:c r="O254" s="1" t="str">
        <x:v>n.a.</x:v>
      </x:c>
      <x:c r="P254" s="1" t="n">
        <x:v>0</x:v>
      </x:c>
      <x:c r="Q254" s="5" t="str">
        <x:v>Codex original</x:v>
      </x:c>
    </x:row>
    <x:row r="255" ht="38" customHeight="1">
      <x:c r="A255" s="1" t="str">
        <x:v>Mob_Parcels_BlightBailiff</x:v>
      </x:c>
      <x:c r="B255" s="1" t="str">
        <x:v>Character</x:v>
      </x:c>
      <x:c r="C255" s="1" t="str">
        <x:v>The Parcels</x:v>
      </x:c>
      <x:c r="D255" s="5" t="str">
        <x:v>Boss proposal; no deed authority</x:v>
      </x:c>
      <x:c r="E255" s="7" t="n">
        <x:v>1384</x:v>
      </x:c>
      <x:c r="F255" s="1" t="str">
        <x:v>ParcelsCreatureV1</x:v>
      </x:c>
      <x:c r="G255" s="5" t="str">
        <x:v>Idle, Walk, Attack, Hurt</x:v>
      </x:c>
      <x:c r="H255" s="1" t="str">
        <x:v>Validated</x:v>
      </x:c>
      <x:c r="I255" s="1" t="str">
        <x:v>Pending</x:v>
      </x:c>
      <x:c r="J255" s="1" t="str">
        <x:v>Binding pending</x:v>
      </x:c>
      <x:c r="K255" s="1" t="str">
        <x:v>parcels-buildout/creatures/Mob_Parcels_BlightBailiff.glb</x:v>
      </x:c>
      <x:c r="L255" s="1" t="str">
        <x:v>c65c9fd63c9bed783edb1a313f1236d26327234fb38b51462eae8dcc6954f9ab</x:v>
      </x:c>
      <x:c r="M255" s="16" t="n">
        <x:v>1</x:v>
      </x:c>
      <x:c r="N255" s="1" t="str">
        <x:v>n.a.</x:v>
      </x:c>
      <x:c r="O255" s="1" t="str">
        <x:v>n.a.</x:v>
      </x:c>
      <x:c r="P255" s="1" t="n">
        <x:v>0</x:v>
      </x:c>
      <x:c r="Q255" s="5" t="str">
        <x:v>Codex original</x:v>
      </x:c>
    </x:row>
    <x:row r="256" ht="38" customHeight="1">
      <x:c r="A256" s="1" t="str">
        <x:v>Mob_Parcels_FenceLark</x:v>
      </x:c>
      <x:c r="B256" s="1" t="str">
        <x:v>Character</x:v>
      </x:c>
      <x:c r="C256" s="1" t="str">
        <x:v>The Parcels</x:v>
      </x:c>
      <x:c r="D256" s="5" t="str">
        <x:v>Ambient bird</x:v>
      </x:c>
      <x:c r="E256" s="7" t="n">
        <x:v>1564</x:v>
      </x:c>
      <x:c r="F256" s="1" t="str">
        <x:v>ParcelsCreatureV1</x:v>
      </x:c>
      <x:c r="G256" s="5" t="str">
        <x:v>Idle, Walk, Attack, Hurt</x:v>
      </x:c>
      <x:c r="H256" s="1" t="str">
        <x:v>Validated</x:v>
      </x:c>
      <x:c r="I256" s="1" t="str">
        <x:v>Pending</x:v>
      </x:c>
      <x:c r="J256" s="1" t="str">
        <x:v>Binding pending</x:v>
      </x:c>
      <x:c r="K256" s="1" t="str">
        <x:v>parcels-buildout/creatures/Mob_Parcels_FenceLark.glb</x:v>
      </x:c>
      <x:c r="L256" s="1" t="str">
        <x:v>b45e66850f77ba8011da8ff75fd8b759ddffb5f0a8e5af55336a229743fa483e</x:v>
      </x:c>
      <x:c r="M256" s="16" t="n">
        <x:v>1</x:v>
      </x:c>
      <x:c r="N256" s="1" t="str">
        <x:v>n.a.</x:v>
      </x:c>
      <x:c r="O256" s="1" t="str">
        <x:v>n.a.</x:v>
      </x:c>
      <x:c r="P256" s="1" t="n">
        <x:v>0</x:v>
      </x:c>
      <x:c r="Q256" s="5" t="str">
        <x:v>Codex original</x:v>
      </x:c>
    </x:row>
    <x:row r="257" ht="38" customHeight="1">
      <x:c r="A257" s="1" t="str">
        <x:v>Mob_Parcels_PuddleDuck</x:v>
      </x:c>
      <x:c r="B257" s="1" t="str">
        <x:v>Character</x:v>
      </x:c>
      <x:c r="C257" s="1" t="str">
        <x:v>The Parcels</x:v>
      </x:c>
      <x:c r="D257" s="5" t="str">
        <x:v>Ambient bird</x:v>
      </x:c>
      <x:c r="E257" s="7" t="n">
        <x:v>1564</x:v>
      </x:c>
      <x:c r="F257" s="1" t="str">
        <x:v>ParcelsCreatureV1</x:v>
      </x:c>
      <x:c r="G257" s="5" t="str">
        <x:v>Idle, Walk, Attack, Hurt</x:v>
      </x:c>
      <x:c r="H257" s="1" t="str">
        <x:v>Validated</x:v>
      </x:c>
      <x:c r="I257" s="1" t="str">
        <x:v>Pending</x:v>
      </x:c>
      <x:c r="J257" s="1" t="str">
        <x:v>Binding pending</x:v>
      </x:c>
      <x:c r="K257" s="1" t="str">
        <x:v>parcels-buildout/creatures/Mob_Parcels_PuddleDuck.glb</x:v>
      </x:c>
      <x:c r="L257" s="1" t="str">
        <x:v>d8f52452e7ab937f29ed37df5fd498653ceefb1f760a395182cd234ef62784d3</x:v>
      </x:c>
      <x:c r="M257" s="16" t="n">
        <x:v>1</x:v>
      </x:c>
      <x:c r="N257" s="1" t="str">
        <x:v>n.a.</x:v>
      </x:c>
      <x:c r="O257" s="1" t="str">
        <x:v>n.a.</x:v>
      </x:c>
      <x:c r="P257" s="1" t="n">
        <x:v>0</x:v>
      </x:c>
      <x:c r="Q257" s="5" t="str">
        <x:v>Codex original</x:v>
      </x:c>
    </x:row>
    <x:row r="258" ht="38" customHeight="1">
      <x:c r="A258" s="1" t="str">
        <x:v>Mob_Parcels_ParcelHelicopter</x:v>
      </x:c>
      <x:c r="B258" s="1" t="str">
        <x:v>Character</x:v>
      </x:c>
      <x:c r="C258" s="1" t="str">
        <x:v>The Parcels</x:v>
      </x:c>
      <x:c r="D258" s="5" t="str">
        <x:v>Realm mount; physics pending</x:v>
      </x:c>
      <x:c r="E258" s="7" t="n">
        <x:v>740</x:v>
      </x:c>
      <x:c r="F258" s="1" t="str">
        <x:v>ParcelsCreatureV1</x:v>
      </x:c>
      <x:c r="G258" s="5" t="str">
        <x:v>Idle, Walk, Attack, Hurt</x:v>
      </x:c>
      <x:c r="H258" s="1" t="str">
        <x:v>Validated</x:v>
      </x:c>
      <x:c r="I258" s="1" t="str">
        <x:v>Pending</x:v>
      </x:c>
      <x:c r="J258" s="1" t="str">
        <x:v>Binding pending</x:v>
      </x:c>
      <x:c r="K258" s="1" t="str">
        <x:v>parcels-buildout/creatures/Mob_Parcels_ParcelHelicopter.glb</x:v>
      </x:c>
      <x:c r="L258" s="1" t="str">
        <x:v>d894e2b0f2c50643b1be3c63770b641e5643879c3bc56b25792ee115b0b108ef</x:v>
      </x:c>
      <x:c r="M258" s="16" t="n">
        <x:v>1</x:v>
      </x:c>
      <x:c r="N258" s="1" t="str">
        <x:v>n.a.</x:v>
      </x:c>
      <x:c r="O258" s="1" t="str">
        <x:v>n.a.</x:v>
      </x:c>
      <x:c r="P258" s="1" t="n">
        <x:v>0</x:v>
      </x:c>
      <x:c r="Q258" s="5" t="str">
        <x:v>Codex original</x:v>
      </x:c>
    </x:row>
    <x:row r="259" ht="38" customHeight="1">
      <x:c r="A259" s="1" t="str">
        <x:v>Mob_Parcels_DraftOx</x:v>
      </x:c>
      <x:c r="B259" s="1" t="str">
        <x:v>Character</x:v>
      </x:c>
      <x:c r="C259" s="1" t="str">
        <x:v>The Parcels</x:v>
      </x:c>
      <x:c r="D259" s="5" t="str">
        <x:v>Pack companion</x:v>
      </x:c>
      <x:c r="E259" s="7" t="n">
        <x:v>1644</x:v>
      </x:c>
      <x:c r="F259" s="1" t="str">
        <x:v>ParcelsCreatureV1</x:v>
      </x:c>
      <x:c r="G259" s="5" t="str">
        <x:v>Idle, Walk, Attack, Hurt</x:v>
      </x:c>
      <x:c r="H259" s="1" t="str">
        <x:v>Validated</x:v>
      </x:c>
      <x:c r="I259" s="1" t="str">
        <x:v>Pending</x:v>
      </x:c>
      <x:c r="J259" s="1" t="str">
        <x:v>Binding pending</x:v>
      </x:c>
      <x:c r="K259" s="1" t="str">
        <x:v>parcels-buildout/creatures/Mob_Parcels_DraftOx.glb</x:v>
      </x:c>
      <x:c r="L259" s="1" t="str">
        <x:v>efb1d5768ded8834ede541efa70b51c15500a66810a3954e0ebe51fad0a26d35</x:v>
      </x:c>
      <x:c r="M259" s="16" t="n">
        <x:v>1</x:v>
      </x:c>
      <x:c r="N259" s="1" t="str">
        <x:v>n.a.</x:v>
      </x:c>
      <x:c r="O259" s="1" t="str">
        <x:v>n.a.</x:v>
      </x:c>
      <x:c r="P259" s="1" t="n">
        <x:v>0</x:v>
      </x:c>
      <x:c r="Q259" s="5" t="str">
        <x:v>Codex original</x:v>
      </x:c>
    </x:row>
    <x:row r="260" ht="38" customHeight="1">
      <x:c r="A260" s="1" t="str">
        <x:v>Mob_Parcels_GyroGoat</x:v>
      </x:c>
      <x:c r="B260" s="1" t="str">
        <x:v>Character</x:v>
      </x:c>
      <x:c r="C260" s="1" t="str">
        <x:v>The Parcels</x:v>
      </x:c>
      <x:c r="D260" s="5" t="str">
        <x:v>Climbing companion</x:v>
      </x:c>
      <x:c r="E260" s="7" t="n">
        <x:v>1662</x:v>
      </x:c>
      <x:c r="F260" s="1" t="str">
        <x:v>ParcelsCreatureV1</x:v>
      </x:c>
      <x:c r="G260" s="5" t="str">
        <x:v>Idle, Walk, Attack, Hurt</x:v>
      </x:c>
      <x:c r="H260" s="1" t="str">
        <x:v>Validated</x:v>
      </x:c>
      <x:c r="I260" s="1" t="str">
        <x:v>Pending</x:v>
      </x:c>
      <x:c r="J260" s="1" t="str">
        <x:v>Binding pending</x:v>
      </x:c>
      <x:c r="K260" s="1" t="str">
        <x:v>parcels-buildout/creatures/Mob_Parcels_GyroGoat.glb</x:v>
      </x:c>
      <x:c r="L260" s="1" t="str">
        <x:v>8d2ed1c3c0a8a31f508c51e43e2f5954a4431d5e3c8c891b9262fbd60971501f</x:v>
      </x:c>
      <x:c r="M260" s="16" t="n">
        <x:v>1</x:v>
      </x:c>
      <x:c r="N260" s="1" t="str">
        <x:v>n.a.</x:v>
      </x:c>
      <x:c r="O260" s="1" t="str">
        <x:v>n.a.</x:v>
      </x:c>
      <x:c r="P260" s="1" t="n">
        <x:v>0</x:v>
      </x:c>
      <x:c r="Q260" s="5" t="str">
        <x:v>Codex original</x:v>
      </x:c>
    </x:row>
    <x:row r="261" ht="38" customHeight="1">
      <x:c r="A261" s="1" t="str">
        <x:v>Mob_Parcels_ParcelPup</x:v>
      </x:c>
      <x:c r="B261" s="1" t="str">
        <x:v>Character</x:v>
      </x:c>
      <x:c r="C261" s="1" t="str">
        <x:v>The Parcels</x:v>
      </x:c>
      <x:c r="D261" s="5" t="str">
        <x:v>Helpful pet</x:v>
      </x:c>
      <x:c r="E261" s="7" t="n">
        <x:v>1796</x:v>
      </x:c>
      <x:c r="F261" s="1" t="str">
        <x:v>ParcelsCreatureV1</x:v>
      </x:c>
      <x:c r="G261" s="5" t="str">
        <x:v>Idle, Walk, Attack, Hurt</x:v>
      </x:c>
      <x:c r="H261" s="1" t="str">
        <x:v>Validated</x:v>
      </x:c>
      <x:c r="I261" s="1" t="str">
        <x:v>Pending</x:v>
      </x:c>
      <x:c r="J261" s="1" t="str">
        <x:v>Binding pending</x:v>
      </x:c>
      <x:c r="K261" s="1" t="str">
        <x:v>parcels-buildout/creatures/Mob_Parcels_ParcelPup.glb</x:v>
      </x:c>
      <x:c r="L261" s="1" t="str">
        <x:v>728c140ffceb965ccee3428d6b978b8d41796931c6baf5d1bcb7621321f1c41a</x:v>
      </x:c>
      <x:c r="M261" s="16" t="n">
        <x:v>1</x:v>
      </x:c>
      <x:c r="N261" s="1" t="str">
        <x:v>n.a.</x:v>
      </x:c>
      <x:c r="O261" s="1" t="str">
        <x:v>n.a.</x:v>
      </x:c>
      <x:c r="P261" s="1" t="n">
        <x:v>0</x:v>
      </x:c>
      <x:c r="Q261" s="5" t="str">
        <x:v>Codex original</x:v>
      </x:c>
    </x:row>
    <x:row r="262" ht="38" customHeight="1">
      <x:c r="A262" s="1" t="str">
        <x:v>Mob_Parcels_CloverRabbit</x:v>
      </x:c>
      <x:c r="B262" s="1" t="str">
        <x:v>Character</x:v>
      </x:c>
      <x:c r="C262" s="1" t="str">
        <x:v>The Parcels</x:v>
      </x:c>
      <x:c r="D262" s="5" t="str">
        <x:v>Helpful pet</x:v>
      </x:c>
      <x:c r="E262" s="7" t="n">
        <x:v>1572</x:v>
      </x:c>
      <x:c r="F262" s="1" t="str">
        <x:v>ParcelsCreatureV1</x:v>
      </x:c>
      <x:c r="G262" s="5" t="str">
        <x:v>Idle, Walk, Attack, Hurt</x:v>
      </x:c>
      <x:c r="H262" s="1" t="str">
        <x:v>Validated</x:v>
      </x:c>
      <x:c r="I262" s="1" t="str">
        <x:v>Pending</x:v>
      </x:c>
      <x:c r="J262" s="1" t="str">
        <x:v>Binding pending</x:v>
      </x:c>
      <x:c r="K262" s="1" t="str">
        <x:v>parcels-buildout/creatures/Mob_Parcels_CloverRabbit.glb</x:v>
      </x:c>
      <x:c r="L262" s="1" t="str">
        <x:v>df7d5262173fa734cde6ec1e5f1b3f6e0a997f83447297d1451fb905973a1b01</x:v>
      </x:c>
      <x:c r="M262" s="16" t="n">
        <x:v>1</x:v>
      </x:c>
      <x:c r="N262" s="1" t="str">
        <x:v>n.a.</x:v>
      </x:c>
      <x:c r="O262" s="1" t="str">
        <x:v>n.a.</x:v>
      </x:c>
      <x:c r="P262" s="1" t="n">
        <x:v>0</x:v>
      </x:c>
      <x:c r="Q262" s="5" t="str">
        <x:v>Codex original</x:v>
      </x:c>
    </x:row>
    <x:row r="263" ht="38" customHeight="1">
      <x:c r="A263" s="1" t="str">
        <x:v>Mob_Parcels_BarnOwlet</x:v>
      </x:c>
      <x:c r="B263" s="1" t="str">
        <x:v>Character</x:v>
      </x:c>
      <x:c r="C263" s="1" t="str">
        <x:v>The Parcels</x:v>
      </x:c>
      <x:c r="D263" s="5" t="str">
        <x:v>Helpful pet</x:v>
      </x:c>
      <x:c r="E263" s="7" t="n">
        <x:v>1948</x:v>
      </x:c>
      <x:c r="F263" s="1" t="str">
        <x:v>ParcelsCreatureV1</x:v>
      </x:c>
      <x:c r="G263" s="5" t="str">
        <x:v>Idle, Walk, Attack, Hurt</x:v>
      </x:c>
      <x:c r="H263" s="1" t="str">
        <x:v>Validated</x:v>
      </x:c>
      <x:c r="I263" s="1" t="str">
        <x:v>Pending</x:v>
      </x:c>
      <x:c r="J263" s="1" t="str">
        <x:v>Binding pending</x:v>
      </x:c>
      <x:c r="K263" s="1" t="str">
        <x:v>parcels-buildout/creatures/Mob_Parcels_BarnOwlet.glb</x:v>
      </x:c>
      <x:c r="L263" s="1" t="str">
        <x:v>b90afe48015bed3ef9ea4e2f6eff5ad79ae5cbecf3fb2dd5b7d30396e48d6740</x:v>
      </x:c>
      <x:c r="M263" s="16" t="n">
        <x:v>1</x:v>
      </x:c>
      <x:c r="N263" s="1" t="str">
        <x:v>n.a.</x:v>
      </x:c>
      <x:c r="O263" s="1" t="str">
        <x:v>n.a.</x:v>
      </x:c>
      <x:c r="P263" s="1" t="n">
        <x:v>0</x:v>
      </x:c>
      <x:c r="Q263" s="5" t="str">
        <x:v>Codex original</x:v>
      </x:c>
    </x:row>
    <x:row r="264" ht="38" customHeight="1">
      <x:c r="A264" s="1" t="str">
        <x:v>Mob_Parcels_SeedMouse</x:v>
      </x:c>
      <x:c r="B264" s="1" t="str">
        <x:v>Character</x:v>
      </x:c>
      <x:c r="C264" s="1" t="str">
        <x:v>The Parcels</x:v>
      </x:c>
      <x:c r="D264" s="5" t="str">
        <x:v>Helpful pet</x:v>
      </x:c>
      <x:c r="E264" s="7" t="n">
        <x:v>2020</x:v>
      </x:c>
      <x:c r="F264" s="1" t="str">
        <x:v>ParcelsCreatureV1</x:v>
      </x:c>
      <x:c r="G264" s="5" t="str">
        <x:v>Idle, Walk, Attack, Hurt</x:v>
      </x:c>
      <x:c r="H264" s="1" t="str">
        <x:v>Validated</x:v>
      </x:c>
      <x:c r="I264" s="1" t="str">
        <x:v>Pending</x:v>
      </x:c>
      <x:c r="J264" s="1" t="str">
        <x:v>Binding pending</x:v>
      </x:c>
      <x:c r="K264" s="1" t="str">
        <x:v>parcels-buildout/creatures/Mob_Parcels_SeedMouse.glb</x:v>
      </x:c>
      <x:c r="L264" s="1" t="str">
        <x:v>f583b9ccf6db785a9866b0bbe6c5198d5c7079400f5ae40e2c8ca48153a0c071</x:v>
      </x:c>
      <x:c r="M264" s="16" t="n">
        <x:v>1</x:v>
      </x:c>
      <x:c r="N264" s="1" t="str">
        <x:v>n.a.</x:v>
      </x:c>
      <x:c r="O264" s="1" t="str">
        <x:v>n.a.</x:v>
      </x:c>
      <x:c r="P264" s="1" t="n">
        <x:v>0</x:v>
      </x:c>
      <x:c r="Q264" s="5" t="str">
        <x:v>Codex original</x:v>
      </x:c>
    </x:row>
    <x:row r="265" ht="38" customHeight="1">
      <x:c r="A265" s="1" t="str">
        <x:v>Prop_Parcels_FieldTile</x:v>
      </x:c>
      <x:c r="B265" s="1" t="str">
        <x:v>Prop</x:v>
      </x:c>
      <x:c r="C265" s="1" t="str">
        <x:v>The Parcels</x:v>
      </x:c>
      <x:c r="D265" s="5" t="str">
        <x:v>Field module</x:v>
      </x:c>
      <x:c r="E265" s="7" t="n">
        <x:v>12</x:v>
      </x:c>
      <x:c r="F265" s="1" t="str">
        <x:v>static</x:v>
      </x:c>
      <x:c r="G265" s="5" t="str"/>
      <x:c r="H265" s="1" t="str">
        <x:v>Validated</x:v>
      </x:c>
      <x:c r="I265" s="1" t="str">
        <x:v>Pending</x:v>
      </x:c>
      <x:c r="J265" s="1" t="str">
        <x:v>Binding pending</x:v>
      </x:c>
      <x:c r="K265" s="1" t="str">
        <x:v>parcels-buildout/environment/Prop_Parcels_FieldTile.glb</x:v>
      </x:c>
      <x:c r="L265" s="1" t="str">
        <x:v>6c3e1cc89b9fe29409e4693d1197e7f2fb55126d812189a3088a3f65c178abdd</x:v>
      </x:c>
      <x:c r="M265" s="16" t="n">
        <x:v>0</x:v>
      </x:c>
      <x:c r="N265" s="1" t="str">
        <x:v>n.a.</x:v>
      </x:c>
      <x:c r="O265" s="1" t="str">
        <x:v>n.a.</x:v>
      </x:c>
      <x:c r="P265" s="1" t="n">
        <x:v>0</x:v>
      </x:c>
      <x:c r="Q265" s="5" t="str">
        <x:v>Codex original</x:v>
      </x:c>
    </x:row>
    <x:row r="266" ht="38" customHeight="1">
      <x:c r="A266" s="1" t="str">
        <x:v>Prop_Parcels_SoilBed</x:v>
      </x:c>
      <x:c r="B266" s="1" t="str">
        <x:v>Prop</x:v>
      </x:c>
      <x:c r="C266" s="1" t="str">
        <x:v>The Parcels</x:v>
      </x:c>
      <x:c r="D266" s="5" t="str">
        <x:v>Crop bed</x:v>
      </x:c>
      <x:c r="E266" s="7" t="n">
        <x:v>144</x:v>
      </x:c>
      <x:c r="F266" s="1" t="str">
        <x:v>static</x:v>
      </x:c>
      <x:c r="G266" s="5" t="str"/>
      <x:c r="H266" s="1" t="str">
        <x:v>Validated</x:v>
      </x:c>
      <x:c r="I266" s="1" t="str">
        <x:v>Pending</x:v>
      </x:c>
      <x:c r="J266" s="1" t="str">
        <x:v>Binding pending</x:v>
      </x:c>
      <x:c r="K266" s="1" t="str">
        <x:v>parcels-buildout/environment/Prop_Parcels_SoilBed.glb</x:v>
      </x:c>
      <x:c r="L266" s="1" t="str">
        <x:v>79241dd7f293636556abf06db2d84bb9b1acca300ee38beb72b7efac205d4ea8</x:v>
      </x:c>
      <x:c r="M266" s="16" t="n">
        <x:v>0</x:v>
      </x:c>
      <x:c r="N266" s="1" t="str">
        <x:v>n.a.</x:v>
      </x:c>
      <x:c r="O266" s="1" t="str">
        <x:v>n.a.</x:v>
      </x:c>
      <x:c r="P266" s="1" t="n">
        <x:v>0</x:v>
      </x:c>
      <x:c r="Q266" s="5" t="str">
        <x:v>Codex original</x:v>
      </x:c>
    </x:row>
    <x:row r="267" ht="38" customHeight="1">
      <x:c r="A267" s="1" t="str">
        <x:v>Prop_Parcels_RoadTile</x:v>
      </x:c>
      <x:c r="B267" s="1" t="str">
        <x:v>Prop</x:v>
      </x:c>
      <x:c r="C267" s="1" t="str">
        <x:v>The Parcels</x:v>
      </x:c>
      <x:c r="D267" s="5" t="str">
        <x:v>Travel road module</x:v>
      </x:c>
      <x:c r="E267" s="7" t="n">
        <x:v>144</x:v>
      </x:c>
      <x:c r="F267" s="1" t="str">
        <x:v>static</x:v>
      </x:c>
      <x:c r="G267" s="5" t="str"/>
      <x:c r="H267" s="1" t="str">
        <x:v>Validated</x:v>
      </x:c>
      <x:c r="I267" s="1" t="str">
        <x:v>Pending</x:v>
      </x:c>
      <x:c r="J267" s="1" t="str">
        <x:v>Binding pending</x:v>
      </x:c>
      <x:c r="K267" s="1" t="str">
        <x:v>parcels-buildout/environment/Prop_Parcels_RoadTile.glb</x:v>
      </x:c>
      <x:c r="L267" s="1" t="str">
        <x:v>545011c4a20f904b6ebf7c629ae278780f962a51e5d626eb795ae18deafb95c3</x:v>
      </x:c>
      <x:c r="M267" s="16" t="n">
        <x:v>0</x:v>
      </x:c>
      <x:c r="N267" s="1" t="str">
        <x:v>n.a.</x:v>
      </x:c>
      <x:c r="O267" s="1" t="str">
        <x:v>n.a.</x:v>
      </x:c>
      <x:c r="P267" s="1" t="n">
        <x:v>0</x:v>
      </x:c>
      <x:c r="Q267" s="5" t="str">
        <x:v>Codex original</x:v>
      </x:c>
    </x:row>
    <x:row r="268" ht="38" customHeight="1">
      <x:c r="A268" s="1" t="str">
        <x:v>Prop_Parcels_Fence</x:v>
      </x:c>
      <x:c r="B268" s="1" t="str">
        <x:v>Prop</x:v>
      </x:c>
      <x:c r="C268" s="1" t="str">
        <x:v>The Parcels</x:v>
      </x:c>
      <x:c r="D268" s="5" t="str">
        <x:v>Boundary module</x:v>
      </x:c>
      <x:c r="E268" s="7" t="n">
        <x:v>220</x:v>
      </x:c>
      <x:c r="F268" s="1" t="str">
        <x:v>static</x:v>
      </x:c>
      <x:c r="G268" s="5" t="str"/>
      <x:c r="H268" s="1" t="str">
        <x:v>Validated</x:v>
      </x:c>
      <x:c r="I268" s="1" t="str">
        <x:v>Pending</x:v>
      </x:c>
      <x:c r="J268" s="1" t="str">
        <x:v>Binding pending</x:v>
      </x:c>
      <x:c r="K268" s="1" t="str">
        <x:v>parcels-buildout/environment/Prop_Parcels_Fence.glb</x:v>
      </x:c>
      <x:c r="L268" s="1" t="str">
        <x:v>84f320a651da081a0d6ead2a1618cd795d8aa5f706ceba7b13243cab5398f1db</x:v>
      </x:c>
      <x:c r="M268" s="16" t="n">
        <x:v>0</x:v>
      </x:c>
      <x:c r="N268" s="1" t="str">
        <x:v>n.a.</x:v>
      </x:c>
      <x:c r="O268" s="1" t="str">
        <x:v>n.a.</x:v>
      </x:c>
      <x:c r="P268" s="1" t="n">
        <x:v>0</x:v>
      </x:c>
      <x:c r="Q268" s="5" t="str">
        <x:v>Codex original</x:v>
      </x:c>
    </x:row>
    <x:row r="269" ht="38" customHeight="1">
      <x:c r="A269" s="1" t="str">
        <x:v>Prop_Parcels_FarmGate</x:v>
      </x:c>
      <x:c r="B269" s="1" t="str">
        <x:v>Prop</x:v>
      </x:c>
      <x:c r="C269" s="1" t="str">
        <x:v>The Parcels</x:v>
      </x:c>
      <x:c r="D269" s="5" t="str">
        <x:v>Farm entry</x:v>
      </x:c>
      <x:c r="E269" s="7" t="n">
        <x:v>132</x:v>
      </x:c>
      <x:c r="F269" s="1" t="str">
        <x:v>static</x:v>
      </x:c>
      <x:c r="G269" s="5" t="str"/>
      <x:c r="H269" s="1" t="str">
        <x:v>Validated</x:v>
      </x:c>
      <x:c r="I269" s="1" t="str">
        <x:v>Pending</x:v>
      </x:c>
      <x:c r="J269" s="1" t="str">
        <x:v>Binding pending</x:v>
      </x:c>
      <x:c r="K269" s="1" t="str">
        <x:v>parcels-buildout/environment/Prop_Parcels_FarmGate.glb</x:v>
      </x:c>
      <x:c r="L269" s="1" t="str">
        <x:v>afd5e0a2e760c0033a564700e739c29e8427d71ca7f7c5bedfcfbf28ab3d3c36</x:v>
      </x:c>
      <x:c r="M269" s="16" t="n">
        <x:v>0</x:v>
      </x:c>
      <x:c r="N269" s="1" t="str">
        <x:v>n.a.</x:v>
      </x:c>
      <x:c r="O269" s="1" t="str">
        <x:v>n.a.</x:v>
      </x:c>
      <x:c r="P269" s="1" t="n">
        <x:v>0</x:v>
      </x:c>
      <x:c r="Q269" s="5" t="str">
        <x:v>Codex original</x:v>
      </x:c>
    </x:row>
    <x:row r="270" ht="38" customHeight="1">
      <x:c r="A270" s="1" t="str">
        <x:v>Prop_Parcels_BarnWall</x:v>
      </x:c>
      <x:c r="B270" s="1" t="str">
        <x:v>Prop</x:v>
      </x:c>
      <x:c r="C270" s="1" t="str">
        <x:v>The Parcels</x:v>
      </x:c>
      <x:c r="D270" s="5" t="str">
        <x:v>Farm wall</x:v>
      </x:c>
      <x:c r="E270" s="7" t="n">
        <x:v>232</x:v>
      </x:c>
      <x:c r="F270" s="1" t="str">
        <x:v>static</x:v>
      </x:c>
      <x:c r="G270" s="5" t="str"/>
      <x:c r="H270" s="1" t="str">
        <x:v>Validated</x:v>
      </x:c>
      <x:c r="I270" s="1" t="str">
        <x:v>Pending</x:v>
      </x:c>
      <x:c r="J270" s="1" t="str">
        <x:v>Binding pending</x:v>
      </x:c>
      <x:c r="K270" s="1" t="str">
        <x:v>parcels-buildout/environment/Prop_Parcels_BarnWall.glb</x:v>
      </x:c>
      <x:c r="L270" s="1" t="str">
        <x:v>0a5b02bf8c296e9d5112b1db2cc15ccfd2e8062b886aa316fa1cf36825c5d50e</x:v>
      </x:c>
      <x:c r="M270" s="16" t="n">
        <x:v>0</x:v>
      </x:c>
      <x:c r="N270" s="1" t="str">
        <x:v>n.a.</x:v>
      </x:c>
      <x:c r="O270" s="1" t="str">
        <x:v>n.a.</x:v>
      </x:c>
      <x:c r="P270" s="1" t="n">
        <x:v>0</x:v>
      </x:c>
      <x:c r="Q270" s="5" t="str">
        <x:v>Codex original</x:v>
      </x:c>
    </x:row>
    <x:row r="271" ht="38" customHeight="1">
      <x:c r="A271" s="1" t="str">
        <x:v>Prop_Parcels_BarnDoor</x:v>
      </x:c>
      <x:c r="B271" s="1" t="str">
        <x:v>Prop</x:v>
      </x:c>
      <x:c r="C271" s="1" t="str">
        <x:v>The Parcels</x:v>
      </x:c>
      <x:c r="D271" s="5" t="str">
        <x:v>Clear farm doorway</x:v>
      </x:c>
      <x:c r="E271" s="7" t="n">
        <x:v>132</x:v>
      </x:c>
      <x:c r="F271" s="1" t="str">
        <x:v>static</x:v>
      </x:c>
      <x:c r="G271" s="5" t="str"/>
      <x:c r="H271" s="1" t="str">
        <x:v>Validated</x:v>
      </x:c>
      <x:c r="I271" s="1" t="str">
        <x:v>Pending</x:v>
      </x:c>
      <x:c r="J271" s="1" t="str">
        <x:v>Binding pending</x:v>
      </x:c>
      <x:c r="K271" s="1" t="str">
        <x:v>parcels-buildout/environment/Prop_Parcels_BarnDoor.glb</x:v>
      </x:c>
      <x:c r="L271" s="1" t="str">
        <x:v>b69acaecd3a941a67b2123106abc1a2b459e0ddb08edf9aa6d31a49b830a7ea9</x:v>
      </x:c>
      <x:c r="M271" s="16" t="n">
        <x:v>0</x:v>
      </x:c>
      <x:c r="N271" s="1" t="str">
        <x:v>n.a.</x:v>
      </x:c>
      <x:c r="O271" s="1" t="str">
        <x:v>n.a.</x:v>
      </x:c>
      <x:c r="P271" s="1" t="n">
        <x:v>0</x:v>
      </x:c>
      <x:c r="Q271" s="5" t="str">
        <x:v>Codex original</x:v>
      </x:c>
    </x:row>
    <x:row r="272" ht="38" customHeight="1">
      <x:c r="A272" s="1" t="str">
        <x:v>Prop_Parcels_HayBale</x:v>
      </x:c>
      <x:c r="B272" s="1" t="str">
        <x:v>Prop</x:v>
      </x:c>
      <x:c r="C272" s="1" t="str">
        <x:v>The Parcels</x:v>
      </x:c>
      <x:c r="D272" s="5" t="str">
        <x:v>Farm supplies</x:v>
      </x:c>
      <x:c r="E272" s="7" t="n">
        <x:v>132</x:v>
      </x:c>
      <x:c r="F272" s="1" t="str">
        <x:v>static</x:v>
      </x:c>
      <x:c r="G272" s="5" t="str"/>
      <x:c r="H272" s="1" t="str">
        <x:v>Validated</x:v>
      </x:c>
      <x:c r="I272" s="1" t="str">
        <x:v>Pending</x:v>
      </x:c>
      <x:c r="J272" s="1" t="str">
        <x:v>Binding pending</x:v>
      </x:c>
      <x:c r="K272" s="1" t="str">
        <x:v>parcels-buildout/environment/Prop_Parcels_HayBale.glb</x:v>
      </x:c>
      <x:c r="L272" s="1" t="str">
        <x:v>9c5f842a704ffda5616e3432bb6b39d307384471890571ba531d2904a1c9cb99</x:v>
      </x:c>
      <x:c r="M272" s="16" t="n">
        <x:v>0</x:v>
      </x:c>
      <x:c r="N272" s="1" t="str">
        <x:v>n.a.</x:v>
      </x:c>
      <x:c r="O272" s="1" t="str">
        <x:v>n.a.</x:v>
      </x:c>
      <x:c r="P272" s="1" t="n">
        <x:v>0</x:v>
      </x:c>
      <x:c r="Q272" s="5" t="str">
        <x:v>Codex original</x:v>
      </x:c>
    </x:row>
    <x:row r="273" ht="38" customHeight="1">
      <x:c r="A273" s="1" t="str">
        <x:v>Prop_Parcels_SeedCrate</x:v>
      </x:c>
      <x:c r="B273" s="1" t="str">
        <x:v>Prop</x:v>
      </x:c>
      <x:c r="C273" s="1" t="str">
        <x:v>The Parcels</x:v>
      </x:c>
      <x:c r="D273" s="5" t="str">
        <x:v>Seed supplies</x:v>
      </x:c>
      <x:c r="E273" s="7" t="n">
        <x:v>152</x:v>
      </x:c>
      <x:c r="F273" s="1" t="str">
        <x:v>static</x:v>
      </x:c>
      <x:c r="G273" s="5" t="str"/>
      <x:c r="H273" s="1" t="str">
        <x:v>Validated</x:v>
      </x:c>
      <x:c r="I273" s="1" t="str">
        <x:v>Pending</x:v>
      </x:c>
      <x:c r="J273" s="1" t="str">
        <x:v>Binding pending</x:v>
      </x:c>
      <x:c r="K273" s="1" t="str">
        <x:v>parcels-buildout/environment/Prop_Parcels_SeedCrate.glb</x:v>
      </x:c>
      <x:c r="L273" s="1" t="str">
        <x:v>91922c867f8e5194a59ff4237670c6ae82fe7fd9f2563888a0b0020cb2af0388</x:v>
      </x:c>
      <x:c r="M273" s="16" t="n">
        <x:v>0</x:v>
      </x:c>
      <x:c r="N273" s="1" t="str">
        <x:v>n.a.</x:v>
      </x:c>
      <x:c r="O273" s="1" t="str">
        <x:v>n.a.</x:v>
      </x:c>
      <x:c r="P273" s="1" t="n">
        <x:v>0</x:v>
      </x:c>
      <x:c r="Q273" s="5" t="str">
        <x:v>Codex original</x:v>
      </x:c>
    </x:row>
    <x:row r="274" ht="38" customHeight="1">
      <x:c r="A274" s="1" t="str">
        <x:v>Prop_Parcels_Mailbox</x:v>
      </x:c>
      <x:c r="B274" s="1" t="str">
        <x:v>Prop</x:v>
      </x:c>
      <x:c r="C274" s="1" t="str">
        <x:v>The Parcels</x:v>
      </x:c>
      <x:c r="D274" s="5" t="str">
        <x:v>Delivery station</x:v>
      </x:c>
      <x:c r="E274" s="7" t="n">
        <x:v>132</x:v>
      </x:c>
      <x:c r="F274" s="1" t="str">
        <x:v>static</x:v>
      </x:c>
      <x:c r="G274" s="5" t="str"/>
      <x:c r="H274" s="1" t="str">
        <x:v>Validated</x:v>
      </x:c>
      <x:c r="I274" s="1" t="str">
        <x:v>Pending</x:v>
      </x:c>
      <x:c r="J274" s="1" t="str">
        <x:v>Binding pending</x:v>
      </x:c>
      <x:c r="K274" s="1" t="str">
        <x:v>parcels-buildout/environment/Prop_Parcels_Mailbox.glb</x:v>
      </x:c>
      <x:c r="L274" s="1" t="str">
        <x:v>1c1666afc31eaee3a50bf69a1be634d705c7597d53a24289491f02168b2f67fc</x:v>
      </x:c>
      <x:c r="M274" s="16" t="n">
        <x:v>0</x:v>
      </x:c>
      <x:c r="N274" s="1" t="str">
        <x:v>n.a.</x:v>
      </x:c>
      <x:c r="O274" s="1" t="str">
        <x:v>n.a.</x:v>
      </x:c>
      <x:c r="P274" s="1" t="n">
        <x:v>0</x:v>
      </x:c>
      <x:c r="Q274" s="5" t="str">
        <x:v>Codex original</x:v>
      </x:c>
    </x:row>
    <x:row r="275" ht="38" customHeight="1">
      <x:c r="A275" s="1" t="str">
        <x:v>Prop_Parcels_PostCounter</x:v>
      </x:c>
      <x:c r="B275" s="1" t="str">
        <x:v>Prop</x:v>
      </x:c>
      <x:c r="C275" s="1" t="str">
        <x:v>The Parcels</x:v>
      </x:c>
      <x:c r="D275" s="5" t="str">
        <x:v>Mail station</x:v>
      </x:c>
      <x:c r="E275" s="7" t="n">
        <x:v>132</x:v>
      </x:c>
      <x:c r="F275" s="1" t="str">
        <x:v>static</x:v>
      </x:c>
      <x:c r="G275" s="5" t="str"/>
      <x:c r="H275" s="1" t="str">
        <x:v>Validated</x:v>
      </x:c>
      <x:c r="I275" s="1" t="str">
        <x:v>Pending</x:v>
      </x:c>
      <x:c r="J275" s="1" t="str">
        <x:v>Binding pending</x:v>
      </x:c>
      <x:c r="K275" s="1" t="str">
        <x:v>parcels-buildout/environment/Prop_Parcels_PostCounter.glb</x:v>
      </x:c>
      <x:c r="L275" s="1" t="str">
        <x:v>1594743955760261bc81d29ff121f673cd5a1cdef1f70e33da1b1209b1c51de3</x:v>
      </x:c>
      <x:c r="M275" s="16" t="n">
        <x:v>0</x:v>
      </x:c>
      <x:c r="N275" s="1" t="str">
        <x:v>n.a.</x:v>
      </x:c>
      <x:c r="O275" s="1" t="str">
        <x:v>n.a.</x:v>
      </x:c>
      <x:c r="P275" s="1" t="n">
        <x:v>0</x:v>
      </x:c>
      <x:c r="Q275" s="5" t="str">
        <x:v>Codex original</x:v>
      </x:c>
    </x:row>
    <x:row r="276" ht="38" customHeight="1">
      <x:c r="A276" s="1" t="str">
        <x:v>Prop_Parcels_Noticeboard</x:v>
      </x:c>
      <x:c r="B276" s="1" t="str">
        <x:v>Prop</x:v>
      </x:c>
      <x:c r="C276" s="1" t="str">
        <x:v>The Parcels</x:v>
      </x:c>
      <x:c r="D276" s="5" t="str">
        <x:v>Quest board</x:v>
      </x:c>
      <x:c r="E276" s="7" t="n">
        <x:v>220</x:v>
      </x:c>
      <x:c r="F276" s="1" t="str">
        <x:v>static</x:v>
      </x:c>
      <x:c r="G276" s="5" t="str"/>
      <x:c r="H276" s="1" t="str">
        <x:v>Validated</x:v>
      </x:c>
      <x:c r="I276" s="1" t="str">
        <x:v>Pending</x:v>
      </x:c>
      <x:c r="J276" s="1" t="str">
        <x:v>Binding pending</x:v>
      </x:c>
      <x:c r="K276" s="1" t="str">
        <x:v>parcels-buildout/environment/Prop_Parcels_Noticeboard.glb</x:v>
      </x:c>
      <x:c r="L276" s="1" t="str">
        <x:v>97617bdf8438491654318c3185b3133bcd2754388f85fd0b4f58de438b4be2ae</x:v>
      </x:c>
      <x:c r="M276" s="16" t="n">
        <x:v>0</x:v>
      </x:c>
      <x:c r="N276" s="1" t="str">
        <x:v>n.a.</x:v>
      </x:c>
      <x:c r="O276" s="1" t="str">
        <x:v>n.a.</x:v>
      </x:c>
      <x:c r="P276" s="1" t="n">
        <x:v>0</x:v>
      </x:c>
      <x:c r="Q276" s="5" t="str">
        <x:v>Codex original</x:v>
      </x:c>
    </x:row>
    <x:row r="277" ht="38" customHeight="1">
      <x:c r="A277" s="1" t="str">
        <x:v>Prop_Parcels_SurveyMarker</x:v>
      </x:c>
      <x:c r="B277" s="1" t="str">
        <x:v>Prop</x:v>
      </x:c>
      <x:c r="C277" s="1" t="str">
        <x:v>The Parcels</x:v>
      </x:c>
      <x:c r="D277" s="5" t="str">
        <x:v>Survey presentation; no deed authority</x:v>
      </x:c>
      <x:c r="E277" s="7" t="n">
        <x:v>80</x:v>
      </x:c>
      <x:c r="F277" s="1" t="str">
        <x:v>static</x:v>
      </x:c>
      <x:c r="G277" s="5" t="str"/>
      <x:c r="H277" s="1" t="str">
        <x:v>Validated</x:v>
      </x:c>
      <x:c r="I277" s="1" t="str">
        <x:v>Pending</x:v>
      </x:c>
      <x:c r="J277" s="1" t="str">
        <x:v>Binding pending</x:v>
      </x:c>
      <x:c r="K277" s="1" t="str">
        <x:v>parcels-buildout/environment/Prop_Parcels_SurveyMarker.glb</x:v>
      </x:c>
      <x:c r="L277" s="1" t="str">
        <x:v>22144dc4804a9facc340c8187228a139abb22cb1d7d22d5bde258392e9d2cc26</x:v>
      </x:c>
      <x:c r="M277" s="16" t="n">
        <x:v>0</x:v>
      </x:c>
      <x:c r="N277" s="1" t="str">
        <x:v>n.a.</x:v>
      </x:c>
      <x:c r="O277" s="1" t="str">
        <x:v>n.a.</x:v>
      </x:c>
      <x:c r="P277" s="1" t="n">
        <x:v>0</x:v>
      </x:c>
      <x:c r="Q277" s="5" t="str">
        <x:v>Codex original</x:v>
      </x:c>
    </x:row>
    <x:row r="278" ht="38" customHeight="1">
      <x:c r="A278" s="1" t="str">
        <x:v>Prop_Parcels_WeatherVane</x:v>
      </x:c>
      <x:c r="B278" s="1" t="str">
        <x:v>Prop</x:v>
      </x:c>
      <x:c r="C278" s="1" t="str">
        <x:v>The Parcels</x:v>
      </x:c>
      <x:c r="D278" s="5" t="str">
        <x:v>Weather station</x:v>
      </x:c>
      <x:c r="E278" s="7" t="n">
        <x:v>84</x:v>
      </x:c>
      <x:c r="F278" s="1" t="str">
        <x:v>static</x:v>
      </x:c>
      <x:c r="G278" s="5" t="str"/>
      <x:c r="H278" s="1" t="str">
        <x:v>Validated</x:v>
      </x:c>
      <x:c r="I278" s="1" t="str">
        <x:v>Pending</x:v>
      </x:c>
      <x:c r="J278" s="1" t="str">
        <x:v>Binding pending</x:v>
      </x:c>
      <x:c r="K278" s="1" t="str">
        <x:v>parcels-buildout/environment/Prop_Parcels_WeatherVane.glb</x:v>
      </x:c>
      <x:c r="L278" s="1" t="str">
        <x:v>370cbc1e1196234fb2190b1a33aeb03bbf1dbd87068e67c831a6ca16cf9675ea</x:v>
      </x:c>
      <x:c r="M278" s="16" t="n">
        <x:v>0</x:v>
      </x:c>
      <x:c r="N278" s="1" t="str">
        <x:v>n.a.</x:v>
      </x:c>
      <x:c r="O278" s="1" t="str">
        <x:v>n.a.</x:v>
      </x:c>
      <x:c r="P278" s="1" t="n">
        <x:v>0</x:v>
      </x:c>
      <x:c r="Q278" s="5" t="str">
        <x:v>Codex original</x:v>
      </x:c>
    </x:row>
    <x:row r="279" ht="38" customHeight="1">
      <x:c r="A279" s="1" t="str">
        <x:v>Prop_Parcels_Beehive</x:v>
      </x:c>
      <x:c r="B279" s="1" t="str">
        <x:v>Prop</x:v>
      </x:c>
      <x:c r="C279" s="1" t="str">
        <x:v>The Parcels</x:v>
      </x:c>
      <x:c r="D279" s="5" t="str">
        <x:v>Bee station</x:v>
      </x:c>
      <x:c r="E279" s="7" t="n">
        <x:v>176</x:v>
      </x:c>
      <x:c r="F279" s="1" t="str">
        <x:v>static</x:v>
      </x:c>
      <x:c r="G279" s="5" t="str"/>
      <x:c r="H279" s="1" t="str">
        <x:v>Validated</x:v>
      </x:c>
      <x:c r="I279" s="1" t="str">
        <x:v>Pending</x:v>
      </x:c>
      <x:c r="J279" s="1" t="str">
        <x:v>Binding pending</x:v>
      </x:c>
      <x:c r="K279" s="1" t="str">
        <x:v>parcels-buildout/environment/Prop_Parcels_Beehive.glb</x:v>
      </x:c>
      <x:c r="L279" s="1" t="str">
        <x:v>d5d9c96eae2696b8d94da3b57a1ec836fd30f4e9338e327774850f1fda63305b</x:v>
      </x:c>
      <x:c r="M279" s="16" t="n">
        <x:v>0</x:v>
      </x:c>
      <x:c r="N279" s="1" t="str">
        <x:v>n.a.</x:v>
      </x:c>
      <x:c r="O279" s="1" t="str">
        <x:v>n.a.</x:v>
      </x:c>
      <x:c r="P279" s="1" t="n">
        <x:v>0</x:v>
      </x:c>
      <x:c r="Q279" s="5" t="str">
        <x:v>Codex original</x:v>
      </x:c>
    </x:row>
    <x:row r="280" ht="38" customHeight="1">
      <x:c r="A280" s="1" t="str">
        <x:v>Prop_Parcels_MilkCart</x:v>
      </x:c>
      <x:c r="B280" s="1" t="str">
        <x:v>Prop</x:v>
      </x:c>
      <x:c r="C280" s="1" t="str">
        <x:v>The Parcels</x:v>
      </x:c>
      <x:c r="D280" s="5" t="str">
        <x:v>Transport/cart station</x:v>
      </x:c>
      <x:c r="E280" s="7" t="n">
        <x:v>536</x:v>
      </x:c>
      <x:c r="F280" s="1" t="str">
        <x:v>static</x:v>
      </x:c>
      <x:c r="G280" s="5" t="str"/>
      <x:c r="H280" s="1" t="str">
        <x:v>Validated</x:v>
      </x:c>
      <x:c r="I280" s="1" t="str">
        <x:v>Pending</x:v>
      </x:c>
      <x:c r="J280" s="1" t="str">
        <x:v>Binding pending</x:v>
      </x:c>
      <x:c r="K280" s="1" t="str">
        <x:v>parcels-buildout/environment/Prop_Parcels_MilkCart.glb</x:v>
      </x:c>
      <x:c r="L280" s="1" t="str">
        <x:v>34e55e04d0387bf7bbf94113e356e2427ce3fc2f2a9ee5e89c8fdc6da0868d80</x:v>
      </x:c>
      <x:c r="M280" s="16" t="n">
        <x:v>0</x:v>
      </x:c>
      <x:c r="N280" s="1" t="str">
        <x:v>n.a.</x:v>
      </x:c>
      <x:c r="O280" s="1" t="str">
        <x:v>n.a.</x:v>
      </x:c>
      <x:c r="P280" s="1" t="n">
        <x:v>0</x:v>
      </x:c>
      <x:c r="Q280" s="5" t="str">
        <x:v>Codex original</x:v>
      </x:c>
    </x:row>
    <x:row r="281" ht="38" customHeight="1">
      <x:c r="A281" s="1" t="str">
        <x:v>Prop_Parcels_RainCollector</x:v>
      </x:c>
      <x:c r="B281" s="1" t="str">
        <x:v>Prop</x:v>
      </x:c>
      <x:c r="C281" s="1" t="str">
        <x:v>The Parcels</x:v>
      </x:c>
      <x:c r="D281" s="5" t="str">
        <x:v>Water collection presentation</x:v>
      </x:c>
      <x:c r="E281" s="7" t="n">
        <x:v>272</x:v>
      </x:c>
      <x:c r="F281" s="1" t="str">
        <x:v>static</x:v>
      </x:c>
      <x:c r="G281" s="5" t="str"/>
      <x:c r="H281" s="1" t="str">
        <x:v>Validated</x:v>
      </x:c>
      <x:c r="I281" s="1" t="str">
        <x:v>Pending</x:v>
      </x:c>
      <x:c r="J281" s="1" t="str">
        <x:v>Binding pending</x:v>
      </x:c>
      <x:c r="K281" s="1" t="str">
        <x:v>parcels-buildout/environment/Prop_Parcels_RainCollector.glb</x:v>
      </x:c>
      <x:c r="L281" s="1" t="str">
        <x:v>d82aa60833d2e457276cd17d7a2d2e4ff464b07ca5b93281290c4ee4106d5e47</x:v>
      </x:c>
      <x:c r="M281" s="16" t="n">
        <x:v>0</x:v>
      </x:c>
      <x:c r="N281" s="1" t="str">
        <x:v>n.a.</x:v>
      </x:c>
      <x:c r="O281" s="1" t="str">
        <x:v>n.a.</x:v>
      </x:c>
      <x:c r="P281" s="1" t="n">
        <x:v>0</x:v>
      </x:c>
      <x:c r="Q281" s="5" t="str">
        <x:v>Codex original</x:v>
      </x:c>
    </x:row>
    <x:row r="282" ht="38" customHeight="1">
      <x:c r="A282" s="1" t="str">
        <x:v>Prop_Parcels_Well</x:v>
      </x:c>
      <x:c r="B282" s="1" t="str">
        <x:v>Prop</x:v>
      </x:c>
      <x:c r="C282" s="1" t="str">
        <x:v>The Parcels</x:v>
      </x:c>
      <x:c r="D282" s="5" t="str">
        <x:v>Water source</x:v>
      </x:c>
      <x:c r="E282" s="7" t="n">
        <x:v>368</x:v>
      </x:c>
      <x:c r="F282" s="1" t="str">
        <x:v>static</x:v>
      </x:c>
      <x:c r="G282" s="5" t="str"/>
      <x:c r="H282" s="1" t="str">
        <x:v>Validated</x:v>
      </x:c>
      <x:c r="I282" s="1" t="str">
        <x:v>Pending</x:v>
      </x:c>
      <x:c r="J282" s="1" t="str">
        <x:v>Binding pending</x:v>
      </x:c>
      <x:c r="K282" s="1" t="str">
        <x:v>parcels-buildout/environment/Prop_Parcels_Well.glb</x:v>
      </x:c>
      <x:c r="L282" s="1" t="str">
        <x:v>09eef49d47939905c11c9f5641bbce56ff251794d92a12b21387540e78663e6f</x:v>
      </x:c>
      <x:c r="M282" s="16" t="n">
        <x:v>0</x:v>
      </x:c>
      <x:c r="N282" s="1" t="str">
        <x:v>n.a.</x:v>
      </x:c>
      <x:c r="O282" s="1" t="str">
        <x:v>n.a.</x:v>
      </x:c>
      <x:c r="P282" s="1" t="n">
        <x:v>0</x:v>
      </x:c>
      <x:c r="Q282" s="5" t="str">
        <x:v>Codex original</x:v>
      </x:c>
    </x:row>
    <x:row r="283" ht="38" customHeight="1">
      <x:c r="A283" s="1" t="str">
        <x:v>Prop_Parcels_Helipad</x:v>
      </x:c>
      <x:c r="B283" s="1" t="str">
        <x:v>Prop</x:v>
      </x:c>
      <x:c r="C283" s="1" t="str">
        <x:v>The Parcels</x:v>
      </x:c>
      <x:c r="D283" s="5" t="str">
        <x:v>Mount departure presentation</x:v>
      </x:c>
      <x:c r="E283" s="7" t="n">
        <x:v>248</x:v>
      </x:c>
      <x:c r="F283" s="1" t="str">
        <x:v>static</x:v>
      </x:c>
      <x:c r="G283" s="5" t="str"/>
      <x:c r="H283" s="1" t="str">
        <x:v>Validated</x:v>
      </x:c>
      <x:c r="I283" s="1" t="str">
        <x:v>Pending</x:v>
      </x:c>
      <x:c r="J283" s="1" t="str">
        <x:v>Binding pending</x:v>
      </x:c>
      <x:c r="K283" s="1" t="str">
        <x:v>parcels-buildout/environment/Prop_Parcels_Helipad.glb</x:v>
      </x:c>
      <x:c r="L283" s="1" t="str">
        <x:v>f77149bf5c8241b551c574369ec597e6610c77d70da94e43c045339fe05ea207</x:v>
      </x:c>
      <x:c r="M283" s="16" t="n">
        <x:v>0</x:v>
      </x:c>
      <x:c r="N283" s="1" t="str">
        <x:v>n.a.</x:v>
      </x:c>
      <x:c r="O283" s="1" t="str">
        <x:v>n.a.</x:v>
      </x:c>
      <x:c r="P283" s="1" t="n">
        <x:v>0</x:v>
      </x:c>
      <x:c r="Q283" s="5" t="str">
        <x:v>Codex original</x:v>
      </x:c>
    </x:row>
    <x:row r="284" ht="38" customHeight="1">
      <x:c r="A284" s="1" t="str">
        <x:v>Prop_Parcels_FuelPump</x:v>
      </x:c>
      <x:c r="B284" s="1" t="str">
        <x:v>Prop</x:v>
      </x:c>
      <x:c r="C284" s="1" t="str">
        <x:v>The Parcels</x:v>
      </x:c>
      <x:c r="D284" s="5" t="str">
        <x:v>Vehicle service station</x:v>
      </x:c>
      <x:c r="E284" s="7" t="n">
        <x:v>280</x:v>
      </x:c>
      <x:c r="F284" s="1" t="str">
        <x:v>static</x:v>
      </x:c>
      <x:c r="G284" s="5" t="str"/>
      <x:c r="H284" s="1" t="str">
        <x:v>Validated</x:v>
      </x:c>
      <x:c r="I284" s="1" t="str">
        <x:v>Pending</x:v>
      </x:c>
      <x:c r="J284" s="1" t="str">
        <x:v>Binding pending</x:v>
      </x:c>
      <x:c r="K284" s="1" t="str">
        <x:v>parcels-buildout/environment/Prop_Parcels_FuelPump.glb</x:v>
      </x:c>
      <x:c r="L284" s="1" t="str">
        <x:v>7ce8b4952c792f2f06b4b13ed34af2f7e1162b7ce20e069a724d9182bdc57683</x:v>
      </x:c>
      <x:c r="M284" s="16" t="n">
        <x:v>0</x:v>
      </x:c>
      <x:c r="N284" s="1" t="str">
        <x:v>n.a.</x:v>
      </x:c>
      <x:c r="O284" s="1" t="str">
        <x:v>n.a.</x:v>
      </x:c>
      <x:c r="P284" s="1" t="n">
        <x:v>0</x:v>
      </x:c>
      <x:c r="Q284" s="5" t="str">
        <x:v>Codex original</x:v>
      </x:c>
    </x:row>
    <x:row r="285" ht="38" customHeight="1">
      <x:c r="A285" s="1" t="str">
        <x:v>Prop_Parcels_MarketStall</x:v>
      </x:c>
      <x:c r="B285" s="1" t="str">
        <x:v>Prop</x:v>
      </x:c>
      <x:c r="C285" s="1" t="str">
        <x:v>The Parcels</x:v>
      </x:c>
      <x:c r="D285" s="5" t="str">
        <x:v>Market station</x:v>
      </x:c>
      <x:c r="E285" s="7" t="n">
        <x:v>220</x:v>
      </x:c>
      <x:c r="F285" s="1" t="str">
        <x:v>static</x:v>
      </x:c>
      <x:c r="G285" s="5" t="str"/>
      <x:c r="H285" s="1" t="str">
        <x:v>Validated</x:v>
      </x:c>
      <x:c r="I285" s="1" t="str">
        <x:v>Pending</x:v>
      </x:c>
      <x:c r="J285" s="1" t="str">
        <x:v>Binding pending</x:v>
      </x:c>
      <x:c r="K285" s="1" t="str">
        <x:v>parcels-buildout/environment/Prop_Parcels_MarketStall.glb</x:v>
      </x:c>
      <x:c r="L285" s="1" t="str">
        <x:v>5de855bfde4d528ff45f51d3093af4ff3b6f74e0b33eb8195f2dac96edae65cc</x:v>
      </x:c>
      <x:c r="M285" s="16" t="n">
        <x:v>0</x:v>
      </x:c>
      <x:c r="N285" s="1" t="str">
        <x:v>n.a.</x:v>
      </x:c>
      <x:c r="O285" s="1" t="str">
        <x:v>n.a.</x:v>
      </x:c>
      <x:c r="P285" s="1" t="n">
        <x:v>0</x:v>
      </x:c>
      <x:c r="Q285" s="5" t="str">
        <x:v>Codex original</x:v>
      </x:c>
    </x:row>
    <x:row r="286" ht="38" customHeight="1">
      <x:c r="A286" s="1" t="str">
        <x:v>Prop_Parcels_BoatDock</x:v>
      </x:c>
      <x:c r="B286" s="1" t="str">
        <x:v>Prop</x:v>
      </x:c>
      <x:c r="C286" s="1" t="str">
        <x:v>The Parcels</x:v>
      </x:c>
      <x:c r="D286" s="5" t="str">
        <x:v>Ocean departure dock</x:v>
      </x:c>
      <x:c r="E286" s="7" t="n">
        <x:v>100</x:v>
      </x:c>
      <x:c r="F286" s="1" t="str">
        <x:v>static</x:v>
      </x:c>
      <x:c r="G286" s="5" t="str"/>
      <x:c r="H286" s="1" t="str">
        <x:v>Validated</x:v>
      </x:c>
      <x:c r="I286" s="1" t="str">
        <x:v>Pending</x:v>
      </x:c>
      <x:c r="J286" s="1" t="str">
        <x:v>Binding pending</x:v>
      </x:c>
      <x:c r="K286" s="1" t="str">
        <x:v>parcels-buildout/environment/Prop_Parcels_BoatDock.glb</x:v>
      </x:c>
      <x:c r="L286" s="1" t="str">
        <x:v>225540ee703e522e8a85ce070936fb43240d32962ee67c7dac34c4096ae09a9b</x:v>
      </x:c>
      <x:c r="M286" s="16" t="n">
        <x:v>0</x:v>
      </x:c>
      <x:c r="N286" s="1" t="str">
        <x:v>n.a.</x:v>
      </x:c>
      <x:c r="O286" s="1" t="str">
        <x:v>n.a.</x:v>
      </x:c>
      <x:c r="P286" s="1" t="n">
        <x:v>0</x:v>
      </x:c>
      <x:c r="Q286" s="5" t="str">
        <x:v>Codex original</x:v>
      </x:c>
    </x:row>
    <x:row r="287" ht="38" customHeight="1">
      <x:c r="A287" s="1" t="str">
        <x:v>Prop_Parcels_UnderwaterAirlock</x:v>
      </x:c>
      <x:c r="B287" s="1" t="str">
        <x:v>Prop</x:v>
      </x:c>
      <x:c r="C287" s="1" t="str">
        <x:v>The Parcels</x:v>
      </x:c>
      <x:c r="D287" s="5" t="str">
        <x:v>Ocean arrival presentation</x:v>
      </x:c>
      <x:c r="E287" s="7" t="n">
        <x:v>324</x:v>
      </x:c>
      <x:c r="F287" s="1" t="str">
        <x:v>static</x:v>
      </x:c>
      <x:c r="G287" s="5" t="str"/>
      <x:c r="H287" s="1" t="str">
        <x:v>Validated</x:v>
      </x:c>
      <x:c r="I287" s="1" t="str">
        <x:v>Pending</x:v>
      </x:c>
      <x:c r="J287" s="1" t="str">
        <x:v>Binding pending</x:v>
      </x:c>
      <x:c r="K287" s="1" t="str">
        <x:v>parcels-buildout/environment/Prop_Parcels_UnderwaterAirlock.glb</x:v>
      </x:c>
      <x:c r="L287" s="1" t="str">
        <x:v>7f229b166819f3fd95d3fa4cf030133bbda41e7f5b197fd75d029b5db8cbe6be</x:v>
      </x:c>
      <x:c r="M287" s="16" t="n">
        <x:v>0</x:v>
      </x:c>
      <x:c r="N287" s="1" t="str">
        <x:v>n.a.</x:v>
      </x:c>
      <x:c r="O287" s="1" t="str">
        <x:v>n.a.</x:v>
      </x:c>
      <x:c r="P287" s="1" t="n">
        <x:v>0</x:v>
      </x:c>
      <x:c r="Q287" s="5" t="str">
        <x:v>Codex original</x:v>
      </x:c>
    </x:row>
    <x:row r="288" ht="38" customHeight="1">
      <x:c r="A288" s="1" t="str">
        <x:v>Prop_Water_AMF_Trough_V12</x:v>
      </x:c>
      <x:c r="B288" s="1" t="str">
        <x:v>Prop</x:v>
      </x:c>
      <x:c r="C288" s="1" t="str">
        <x:v>The Parcels</x:v>
      </x:c>
      <x:c r="D288" s="5" t="str">
        <x:v>Existing AMF trough geometry reuse; behavior not copied</x:v>
      </x:c>
      <x:c r="E288" s="7" t="n">
        <x:v>24</x:v>
      </x:c>
      <x:c r="F288" s="1" t="str">
        <x:v>static</x:v>
      </x:c>
      <x:c r="G288" s="5" t="str"/>
      <x:c r="H288" s="1" t="str">
        <x:v>Validated</x:v>
      </x:c>
      <x:c r="I288" s="1" t="str">
        <x:v>Pending</x:v>
      </x:c>
      <x:c r="J288" s="1" t="str">
        <x:v>Binding pending</x:v>
      </x:c>
      <x:c r="K288" s="1" t="str">
        <x:v>parcels-buildout/environment/Prop_Water_AMF_Trough_V12.glb</x:v>
      </x:c>
      <x:c r="L288" s="1" t="str">
        <x:v>a8ad48d5354e7a08af59fcd08d173ab8dac655b576988eac525721dbff0720d6</x:v>
      </x:c>
      <x:c r="M288" s="16" t="n">
        <x:v>0</x:v>
      </x:c>
      <x:c r="N288" s="1" t="str">
        <x:v>n.a.</x:v>
      </x:c>
      <x:c r="O288" s="1" t="str">
        <x:v>n.a.</x:v>
      </x:c>
      <x:c r="P288" s="1" t="n">
        <x:v>0</x:v>
      </x:c>
      <x:c r="Q288" s="5" t="str">
        <x:v>Reused original AMF; owner retained</x:v>
      </x:c>
    </x:row>
    <x:row r="289" ht="38" customHeight="1">
      <x:c r="A289" s="1" t="str">
        <x:v>Mob_Bricks_Builder</x:v>
      </x:c>
      <x:c r="B289" s="1" t="str">
        <x:v>Character</x:v>
      </x:c>
      <x:c r="C289" s="1" t="str">
        <x:v>Brick Realm</x:v>
      </x:c>
      <x:c r="D289" s="5" t="str">
        <x:v>Hero builder</x:v>
      </x:c>
      <x:c r="E289" s="7" t="n">
        <x:v>1216</x:v>
      </x:c>
      <x:c r="F289" s="1" t="str">
        <x:v>BrickHumanoidV1</x:v>
      </x:c>
      <x:c r="G289" s="5" t="str">
        <x:v>Idle, Walk, Attack, Hurt</x:v>
      </x:c>
      <x:c r="H289" s="1" t="str">
        <x:v>Validated</x:v>
      </x:c>
      <x:c r="I289" s="1" t="str">
        <x:v>Pending</x:v>
      </x:c>
      <x:c r="J289" s="1" t="str">
        <x:v>Binding pending</x:v>
      </x:c>
      <x:c r="K289" s="1" t="str">
        <x:v>bricks-buildout/cast/Mob_Bricks_Builder.glb</x:v>
      </x:c>
      <x:c r="L289" s="1" t="str">
        <x:v>cd0190074cb291f9c650970b0d51088b814afc511e2d7c12a411386a9877ce7c</x:v>
      </x:c>
      <x:c r="M289" s="16" t="n">
        <x:v>1</x:v>
      </x:c>
      <x:c r="N289" s="1" t="str">
        <x:v>n.a.</x:v>
      </x:c>
      <x:c r="O289" s="1" t="str">
        <x:v>n.a.</x:v>
      </x:c>
      <x:c r="P289" s="1" t="n">
        <x:v>0</x:v>
      </x:c>
      <x:c r="Q289" s="5" t="str">
        <x:v>Codex original</x:v>
      </x:c>
    </x:row>
    <x:row r="290" ht="38" customHeight="1">
      <x:c r="A290" s="1" t="str">
        <x:v>Mob_Bricks_ForemanKip</x:v>
      </x:c>
      <x:c r="B290" s="1" t="str">
        <x:v>Character</x:v>
      </x:c>
      <x:c r="C290" s="1" t="str">
        <x:v>Brick Realm</x:v>
      </x:c>
      <x:c r="D290" s="5" t="str">
        <x:v>Blueprint quest guide</x:v>
      </x:c>
      <x:c r="E290" s="7" t="n">
        <x:v>1128</x:v>
      </x:c>
      <x:c r="F290" s="1" t="str">
        <x:v>BrickHumanoidV1</x:v>
      </x:c>
      <x:c r="G290" s="5" t="str">
        <x:v>Idle, Walk, Attack, Hurt</x:v>
      </x:c>
      <x:c r="H290" s="1" t="str">
        <x:v>Validated</x:v>
      </x:c>
      <x:c r="I290" s="1" t="str">
        <x:v>Pending</x:v>
      </x:c>
      <x:c r="J290" s="1" t="str">
        <x:v>Binding pending</x:v>
      </x:c>
      <x:c r="K290" s="1" t="str">
        <x:v>bricks-buildout/cast/Mob_Bricks_ForemanKip.glb</x:v>
      </x:c>
      <x:c r="L290" s="1" t="str">
        <x:v>4c9ca83b0a83d80123cc39a1422a176663a60022836d72c1d4a5c0dd98ed2e79</x:v>
      </x:c>
      <x:c r="M290" s="16" t="n">
        <x:v>1</x:v>
      </x:c>
      <x:c r="N290" s="1" t="str">
        <x:v>n.a.</x:v>
      </x:c>
      <x:c r="O290" s="1" t="str">
        <x:v>n.a.</x:v>
      </x:c>
      <x:c r="P290" s="1" t="n">
        <x:v>0</x:v>
      </x:c>
      <x:c r="Q290" s="5" t="str">
        <x:v>Codex original</x:v>
      </x:c>
    </x:row>
    <x:row r="291" ht="38" customHeight="1">
      <x:c r="A291" s="1" t="str">
        <x:v>Mob_Bricks_BrickBaker</x:v>
      </x:c>
      <x:c r="B291" s="1" t="str">
        <x:v>Character</x:v>
      </x:c>
      <x:c r="C291" s="1" t="str">
        <x:v>Brick Realm</x:v>
      </x:c>
      <x:c r="D291" s="5" t="str">
        <x:v>Kiln crafting guide</x:v>
      </x:c>
      <x:c r="E291" s="7" t="n">
        <x:v>1128</x:v>
      </x:c>
      <x:c r="F291" s="1" t="str">
        <x:v>BrickHumanoidV1</x:v>
      </x:c>
      <x:c r="G291" s="5" t="str">
        <x:v>Idle, Walk, Attack, Hurt</x:v>
      </x:c>
      <x:c r="H291" s="1" t="str">
        <x:v>Validated</x:v>
      </x:c>
      <x:c r="I291" s="1" t="str">
        <x:v>Pending</x:v>
      </x:c>
      <x:c r="J291" s="1" t="str">
        <x:v>Binding pending</x:v>
      </x:c>
      <x:c r="K291" s="1" t="str">
        <x:v>bricks-buildout/cast/Mob_Bricks_BrickBaker.glb</x:v>
      </x:c>
      <x:c r="L291" s="1" t="str">
        <x:v>327660d01b75d19fc82df85f226bd706b4801000bca22e8e44e89ff295c50846</x:v>
      </x:c>
      <x:c r="M291" s="16" t="n">
        <x:v>1</x:v>
      </x:c>
      <x:c r="N291" s="1" t="str">
        <x:v>n.a.</x:v>
      </x:c>
      <x:c r="O291" s="1" t="str">
        <x:v>n.a.</x:v>
      </x:c>
      <x:c r="P291" s="1" t="n">
        <x:v>0</x:v>
      </x:c>
      <x:c r="Q291" s="5" t="str">
        <x:v>Codex original</x:v>
      </x:c>
    </x:row>
    <x:row r="292" ht="38" customHeight="1">
      <x:c r="A292" s="1" t="str">
        <x:v>Mob_Bricks_BlueprintArchivist</x:v>
      </x:c>
      <x:c r="B292" s="1" t="str">
        <x:v>Character</x:v>
      </x:c>
      <x:c r="C292" s="1" t="str">
        <x:v>Brick Realm</x:v>
      </x:c>
      <x:c r="D292" s="5" t="str">
        <x:v>Recipe archive</x:v>
      </x:c>
      <x:c r="E292" s="7" t="n">
        <x:v>1136</x:v>
      </x:c>
      <x:c r="F292" s="1" t="str">
        <x:v>BrickHumanoidV1</x:v>
      </x:c>
      <x:c r="G292" s="5" t="str">
        <x:v>Idle, Walk, Attack, Hurt</x:v>
      </x:c>
      <x:c r="H292" s="1" t="str">
        <x:v>Validated</x:v>
      </x:c>
      <x:c r="I292" s="1" t="str">
        <x:v>Pending</x:v>
      </x:c>
      <x:c r="J292" s="1" t="str">
        <x:v>Binding pending</x:v>
      </x:c>
      <x:c r="K292" s="1" t="str">
        <x:v>bricks-buildout/cast/Mob_Bricks_BlueprintArchivist.glb</x:v>
      </x:c>
      <x:c r="L292" s="1" t="str">
        <x:v>75f0115befab85399b25695b811c775d7bf9e1f147b37b79f36eb7356c27640d</x:v>
      </x:c>
      <x:c r="M292" s="16" t="n">
        <x:v>1</x:v>
      </x:c>
      <x:c r="N292" s="1" t="str">
        <x:v>n.a.</x:v>
      </x:c>
      <x:c r="O292" s="1" t="str">
        <x:v>n.a.</x:v>
      </x:c>
      <x:c r="P292" s="1" t="n">
        <x:v>0</x:v>
      </x:c>
      <x:c r="Q292" s="5" t="str">
        <x:v>Codex original</x:v>
      </x:c>
    </x:row>
    <x:row r="293" ht="38" customHeight="1">
      <x:c r="A293" s="1" t="str">
        <x:v>Mob_Bricks_CraneOperatorSal</x:v>
      </x:c>
      <x:c r="B293" s="1" t="str">
        <x:v>Character</x:v>
      </x:c>
      <x:c r="C293" s="1" t="str">
        <x:v>Brick Realm</x:v>
      </x:c>
      <x:c r="D293" s="5" t="str">
        <x:v>Structure crew</x:v>
      </x:c>
      <x:c r="E293" s="7" t="n">
        <x:v>1164</x:v>
      </x:c>
      <x:c r="F293" s="1" t="str">
        <x:v>BrickHumanoidV1</x:v>
      </x:c>
      <x:c r="G293" s="5" t="str">
        <x:v>Idle, Walk, Attack, Hurt</x:v>
      </x:c>
      <x:c r="H293" s="1" t="str">
        <x:v>Validated</x:v>
      </x:c>
      <x:c r="I293" s="1" t="str">
        <x:v>Pending</x:v>
      </x:c>
      <x:c r="J293" s="1" t="str">
        <x:v>Binding pending</x:v>
      </x:c>
      <x:c r="K293" s="1" t="str">
        <x:v>bricks-buildout/cast/Mob_Bricks_CraneOperatorSal.glb</x:v>
      </x:c>
      <x:c r="L293" s="1" t="str">
        <x:v>9f2b31bcdeb009de16b2bc261697a992bf3cc8fcc86f7e8686011eb2400efd38</x:v>
      </x:c>
      <x:c r="M293" s="16" t="n">
        <x:v>1</x:v>
      </x:c>
      <x:c r="N293" s="1" t="str">
        <x:v>n.a.</x:v>
      </x:c>
      <x:c r="O293" s="1" t="str">
        <x:v>n.a.</x:v>
      </x:c>
      <x:c r="P293" s="1" t="n">
        <x:v>0</x:v>
      </x:c>
      <x:c r="Q293" s="5" t="str">
        <x:v>Codex original</x:v>
      </x:c>
    </x:row>
    <x:row r="294" ht="38" customHeight="1">
      <x:c r="A294" s="1" t="str">
        <x:v>Mob_Bricks_DemolitionDuo</x:v>
      </x:c>
      <x:c r="B294" s="1" t="str">
        <x:v>Character</x:v>
      </x:c>
      <x:c r="C294" s="1" t="str">
        <x:v>Brick Realm</x:v>
      </x:c>
      <x:c r="D294" s="5" t="str">
        <x:v>Demolition challenge representative</x:v>
      </x:c>
      <x:c r="E294" s="7" t="n">
        <x:v>1172</x:v>
      </x:c>
      <x:c r="F294" s="1" t="str">
        <x:v>BrickHumanoidV1</x:v>
      </x:c>
      <x:c r="G294" s="5" t="str">
        <x:v>Idle, Walk, Attack, Hurt</x:v>
      </x:c>
      <x:c r="H294" s="1" t="str">
        <x:v>Validated</x:v>
      </x:c>
      <x:c r="I294" s="1" t="str">
        <x:v>Pending</x:v>
      </x:c>
      <x:c r="J294" s="1" t="str">
        <x:v>Binding pending</x:v>
      </x:c>
      <x:c r="K294" s="1" t="str">
        <x:v>bricks-buildout/cast/Mob_Bricks_DemolitionDuo.glb</x:v>
      </x:c>
      <x:c r="L294" s="1" t="str">
        <x:v>fdc73301fa1c5b2c51d0806c5dd3a79989783151d76d7aa0a6405201cc1557c2</x:v>
      </x:c>
      <x:c r="M294" s="16" t="n">
        <x:v>1</x:v>
      </x:c>
      <x:c r="N294" s="1" t="str">
        <x:v>n.a.</x:v>
      </x:c>
      <x:c r="O294" s="1" t="str">
        <x:v>n.a.</x:v>
      </x:c>
      <x:c r="P294" s="1" t="n">
        <x:v>0</x:v>
      </x:c>
      <x:c r="Q294" s="5" t="str">
        <x:v>Codex original</x:v>
      </x:c>
    </x:row>
    <x:row r="295" ht="38" customHeight="1">
      <x:c r="A295" s="1" t="str">
        <x:v>Mob_Bricks_MayorMinifold</x:v>
      </x:c>
      <x:c r="B295" s="1" t="str">
        <x:v>Character</x:v>
      </x:c>
      <x:c r="C295" s="1" t="str">
        <x:v>Brick Realm</x:v>
      </x:c>
      <x:c r="D295" s="5" t="str">
        <x:v>Town quest guide</x:v>
      </x:c>
      <x:c r="E295" s="7" t="n">
        <x:v>1164</x:v>
      </x:c>
      <x:c r="F295" s="1" t="str">
        <x:v>BrickHumanoidV1</x:v>
      </x:c>
      <x:c r="G295" s="5" t="str">
        <x:v>Idle, Walk, Attack, Hurt</x:v>
      </x:c>
      <x:c r="H295" s="1" t="str">
        <x:v>Validated</x:v>
      </x:c>
      <x:c r="I295" s="1" t="str">
        <x:v>Pending</x:v>
      </x:c>
      <x:c r="J295" s="1" t="str">
        <x:v>Binding pending</x:v>
      </x:c>
      <x:c r="K295" s="1" t="str">
        <x:v>bricks-buildout/cast/Mob_Bricks_MayorMinifold.glb</x:v>
      </x:c>
      <x:c r="L295" s="1" t="str">
        <x:v>06af1f551ac265140945ed4f7a19775b9a6a540ee403efb4028698d00a651b42</x:v>
      </x:c>
      <x:c r="M295" s="16" t="n">
        <x:v>1</x:v>
      </x:c>
      <x:c r="N295" s="1" t="str">
        <x:v>n.a.</x:v>
      </x:c>
      <x:c r="O295" s="1" t="str">
        <x:v>n.a.</x:v>
      </x:c>
      <x:c r="P295" s="1" t="n">
        <x:v>0</x:v>
      </x:c>
      <x:c r="Q295" s="5" t="str">
        <x:v>Codex original</x:v>
      </x:c>
    </x:row>
    <x:row r="296" ht="38" customHeight="1">
      <x:c r="A296" s="1" t="str">
        <x:v>Mob_Bricks_AirfieldAceNova</x:v>
      </x:c>
      <x:c r="B296" s="1" t="str">
        <x:v>Character</x:v>
      </x:c>
      <x:c r="C296" s="1" t="str">
        <x:v>Brick Realm</x:v>
      </x:c>
      <x:c r="D296" s="5" t="str">
        <x:v>Plane mount guide</x:v>
      </x:c>
      <x:c r="E296" s="7" t="n">
        <x:v>1136</x:v>
      </x:c>
      <x:c r="F296" s="1" t="str">
        <x:v>BrickHumanoidV1</x:v>
      </x:c>
      <x:c r="G296" s="5" t="str">
        <x:v>Idle, Walk, Attack, Hurt</x:v>
      </x:c>
      <x:c r="H296" s="1" t="str">
        <x:v>Validated</x:v>
      </x:c>
      <x:c r="I296" s="1" t="str">
        <x:v>Pending</x:v>
      </x:c>
      <x:c r="J296" s="1" t="str">
        <x:v>Binding pending</x:v>
      </x:c>
      <x:c r="K296" s="1" t="str">
        <x:v>bricks-buildout/cast/Mob_Bricks_AirfieldAceNova.glb</x:v>
      </x:c>
      <x:c r="L296" s="1" t="str">
        <x:v>c7e86e1cd87d62f4dff6b259d02c82dd712b0985288876cc19d0481088aab34f</x:v>
      </x:c>
      <x:c r="M296" s="16" t="n">
        <x:v>1</x:v>
      </x:c>
      <x:c r="N296" s="1" t="str">
        <x:v>n.a.</x:v>
      </x:c>
      <x:c r="O296" s="1" t="str">
        <x:v>n.a.</x:v>
      </x:c>
      <x:c r="P296" s="1" t="n">
        <x:v>0</x:v>
      </x:c>
      <x:c r="Q296" s="5" t="str">
        <x:v>Codex original</x:v>
      </x:c>
    </x:row>
    <x:row r="297" ht="38" customHeight="1">
      <x:c r="A297" s="1" t="str">
        <x:v>Mob_Bricks_ToySoldierSergeant</x:v>
      </x:c>
      <x:c r="B297" s="1" t="str">
        <x:v>Character</x:v>
      </x:c>
      <x:c r="C297" s="1" t="str">
        <x:v>Brick Realm</x:v>
      </x:c>
      <x:c r="D297" s="5" t="str">
        <x:v>Tactics guide</x:v>
      </x:c>
      <x:c r="E297" s="7" t="n">
        <x:v>1154</x:v>
      </x:c>
      <x:c r="F297" s="1" t="str">
        <x:v>BrickHumanoidV1</x:v>
      </x:c>
      <x:c r="G297" s="5" t="str">
        <x:v>Idle, Walk, Attack, Hurt</x:v>
      </x:c>
      <x:c r="H297" s="1" t="str">
        <x:v>Validated</x:v>
      </x:c>
      <x:c r="I297" s="1" t="str">
        <x:v>Pending</x:v>
      </x:c>
      <x:c r="J297" s="1" t="str">
        <x:v>Binding pending</x:v>
      </x:c>
      <x:c r="K297" s="1" t="str">
        <x:v>bricks-buildout/cast/Mob_Bricks_ToySoldierSergeant.glb</x:v>
      </x:c>
      <x:c r="L297" s="1" t="str">
        <x:v>69d78a3423f860743e4529cdf1e700f858e085861d9a2195262f1acf0836b792</x:v>
      </x:c>
      <x:c r="M297" s="16" t="n">
        <x:v>1</x:v>
      </x:c>
      <x:c r="N297" s="1" t="str">
        <x:v>n.a.</x:v>
      </x:c>
      <x:c r="O297" s="1" t="str">
        <x:v>n.a.</x:v>
      </x:c>
      <x:c r="P297" s="1" t="n">
        <x:v>0</x:v>
      </x:c>
      <x:c r="Q297" s="5" t="str">
        <x:v>Codex original</x:v>
      </x:c>
    </x:row>
    <x:row r="298" ht="38" customHeight="1">
      <x:c r="A298" s="1" t="str">
        <x:v>Mob_Bricks_MissingPieceCollector</x:v>
      </x:c>
      <x:c r="B298" s="1" t="str">
        <x:v>Character</x:v>
      </x:c>
      <x:c r="C298" s="1" t="str">
        <x:v>Brick Realm</x:v>
      </x:c>
      <x:c r="D298" s="5" t="str">
        <x:v>Collection quests</x:v>
      </x:c>
      <x:c r="E298" s="7" t="n">
        <x:v>1328</x:v>
      </x:c>
      <x:c r="F298" s="1" t="str">
        <x:v>BrickHumanoidV1</x:v>
      </x:c>
      <x:c r="G298" s="5" t="str">
        <x:v>Idle, Walk, Attack, Hurt</x:v>
      </x:c>
      <x:c r="H298" s="1" t="str">
        <x:v>Validated</x:v>
      </x:c>
      <x:c r="I298" s="1" t="str">
        <x:v>Pending</x:v>
      </x:c>
      <x:c r="J298" s="1" t="str">
        <x:v>Binding pending</x:v>
      </x:c>
      <x:c r="K298" s="1" t="str">
        <x:v>bricks-buildout/cast/Mob_Bricks_MissingPieceCollector.glb</x:v>
      </x:c>
      <x:c r="L298" s="1" t="str">
        <x:v>1a6c00909fd8912660abf1abf0b95a89a4a026e61e135b36e2bda54ce05728c6</x:v>
      </x:c>
      <x:c r="M298" s="16" t="n">
        <x:v>1</x:v>
      </x:c>
      <x:c r="N298" s="1" t="str">
        <x:v>n.a.</x:v>
      </x:c>
      <x:c r="O298" s="1" t="str">
        <x:v>n.a.</x:v>
      </x:c>
      <x:c r="P298" s="1" t="n">
        <x:v>0</x:v>
      </x:c>
      <x:c r="Q298" s="5" t="str">
        <x:v>Codex original</x:v>
      </x:c>
    </x:row>
    <x:row r="299" ht="38" customHeight="1">
      <x:c r="A299" s="1" t="str">
        <x:v>Mob_Bricks_AdhesiveAlchemist</x:v>
      </x:c>
      <x:c r="B299" s="1" t="str">
        <x:v>Character</x:v>
      </x:c>
      <x:c r="C299" s="1" t="str">
        <x:v>Brick Realm</x:v>
      </x:c>
      <x:c r="D299" s="5" t="str">
        <x:v>NonHalloween Glue Witch art reinterpretation</x:v>
      </x:c>
      <x:c r="E299" s="7" t="n">
        <x:v>1200</x:v>
      </x:c>
      <x:c r="F299" s="1" t="str">
        <x:v>BrickHumanoidV1</x:v>
      </x:c>
      <x:c r="G299" s="5" t="str">
        <x:v>Idle, Walk, Attack, Hurt</x:v>
      </x:c>
      <x:c r="H299" s="1" t="str">
        <x:v>Validated</x:v>
      </x:c>
      <x:c r="I299" s="1" t="str">
        <x:v>Pending</x:v>
      </x:c>
      <x:c r="J299" s="1" t="str">
        <x:v>Binding pending</x:v>
      </x:c>
      <x:c r="K299" s="1" t="str">
        <x:v>bricks-buildout/cast/Mob_Bricks_AdhesiveAlchemist.glb</x:v>
      </x:c>
      <x:c r="L299" s="1" t="str">
        <x:v>fa368584812713c48cda24cfe165d3501eed4f46793614ef6d1a84f6637e92d4</x:v>
      </x:c>
      <x:c r="M299" s="16" t="n">
        <x:v>1</x:v>
      </x:c>
      <x:c r="N299" s="1" t="str">
        <x:v>n.a.</x:v>
      </x:c>
      <x:c r="O299" s="1" t="str">
        <x:v>n.a.</x:v>
      </x:c>
      <x:c r="P299" s="1" t="n">
        <x:v>0</x:v>
      </x:c>
      <x:c r="Q299" s="5" t="str">
        <x:v>Codex original</x:v>
      </x:c>
    </x:row>
    <x:row r="300" ht="38" customHeight="1">
      <x:c r="A300" s="1" t="str">
        <x:v>Mob_Bricks_Studmonger</x:v>
      </x:c>
      <x:c r="B300" s="1" t="str">
        <x:v>Character</x:v>
      </x:c>
      <x:c r="C300" s="1" t="str">
        <x:v>Brick Realm</x:v>
      </x:c>
      <x:c r="D300" s="5" t="str">
        <x:v>Realm game-currency exchange presentation</x:v>
      </x:c>
      <x:c r="E300" s="7" t="n">
        <x:v>1276</x:v>
      </x:c>
      <x:c r="F300" s="1" t="str">
        <x:v>BrickHumanoidV1</x:v>
      </x:c>
      <x:c r="G300" s="5" t="str">
        <x:v>Idle, Walk, Attack, Hurt</x:v>
      </x:c>
      <x:c r="H300" s="1" t="str">
        <x:v>Validated</x:v>
      </x:c>
      <x:c r="I300" s="1" t="str">
        <x:v>Pending</x:v>
      </x:c>
      <x:c r="J300" s="1" t="str">
        <x:v>Binding pending</x:v>
      </x:c>
      <x:c r="K300" s="1" t="str">
        <x:v>bricks-buildout/cast/Mob_Bricks_Studmonger.glb</x:v>
      </x:c>
      <x:c r="L300" s="1" t="str">
        <x:v>dac3022f30e5c97288f2f2bf9b04ad166e5b8ddcbf5a83d2615f43442ed3c692</x:v>
      </x:c>
      <x:c r="M300" s="16" t="n">
        <x:v>1</x:v>
      </x:c>
      <x:c r="N300" s="1" t="str">
        <x:v>n.a.</x:v>
      </x:c>
      <x:c r="O300" s="1" t="str">
        <x:v>n.a.</x:v>
      </x:c>
      <x:c r="P300" s="1" t="n">
        <x:v>0</x:v>
      </x:c>
      <x:c r="Q300" s="5" t="str">
        <x:v>Codex original</x:v>
      </x:c>
    </x:row>
    <x:row r="301" ht="38" customHeight="1">
      <x:c r="A301" s="1" t="str">
        <x:v>Mob_Bricks_BuilderKidsClub</x:v>
      </x:c>
      <x:c r="B301" s="1" t="str">
        <x:v>Character</x:v>
      </x:c>
      <x:c r="C301" s="1" t="str">
        <x:v>Brick Realm</x:v>
      </x:c>
      <x:c r="D301" s="5" t="str">
        <x:v>Club representative</x:v>
      </x:c>
      <x:c r="E301" s="7" t="n">
        <x:v>1128</x:v>
      </x:c>
      <x:c r="F301" s="1" t="str">
        <x:v>BrickHumanoidV1</x:v>
      </x:c>
      <x:c r="G301" s="5" t="str">
        <x:v>Idle, Walk, Attack, Hurt</x:v>
      </x:c>
      <x:c r="H301" s="1" t="str">
        <x:v>Validated</x:v>
      </x:c>
      <x:c r="I301" s="1" t="str">
        <x:v>Pending</x:v>
      </x:c>
      <x:c r="J301" s="1" t="str">
        <x:v>Binding pending</x:v>
      </x:c>
      <x:c r="K301" s="1" t="str">
        <x:v>bricks-buildout/cast/Mob_Bricks_BuilderKidsClub.glb</x:v>
      </x:c>
      <x:c r="L301" s="1" t="str">
        <x:v>c7ad6614e1334918da565cd27a9ee4a61321cc38a56216c89a573eefd18c58ca</x:v>
      </x:c>
      <x:c r="M301" s="16" t="n">
        <x:v>1</x:v>
      </x:c>
      <x:c r="N301" s="1" t="str">
        <x:v>n.a.</x:v>
      </x:c>
      <x:c r="O301" s="1" t="str">
        <x:v>n.a.</x:v>
      </x:c>
      <x:c r="P301" s="1" t="n">
        <x:v>0</x:v>
      </x:c>
      <x:c r="Q301" s="5" t="str">
        <x:v>Codex original</x:v>
      </x:c>
    </x:row>
    <x:row r="302" ht="38" customHeight="1">
      <x:c r="A302" s="1" t="str">
        <x:v>Mob_Bricks_Brickbug</x:v>
      </x:c>
      <x:c r="B302" s="1" t="str">
        <x:v>Character</x:v>
      </x:c>
      <x:c r="C302" s="1" t="str">
        <x:v>Brick Realm</x:v>
      </x:c>
      <x:c r="D302" s="5" t="str">
        <x:v>Construct encounter</x:v>
      </x:c>
      <x:c r="E302" s="7" t="n">
        <x:v>1448</x:v>
      </x:c>
      <x:c r="F302" s="1" t="str">
        <x:v>BrickCreatureV1</x:v>
      </x:c>
      <x:c r="G302" s="5" t="str">
        <x:v>Idle, Walk, Attack, Hurt</x:v>
      </x:c>
      <x:c r="H302" s="1" t="str">
        <x:v>Validated</x:v>
      </x:c>
      <x:c r="I302" s="1" t="str">
        <x:v>Pending</x:v>
      </x:c>
      <x:c r="J302" s="1" t="str">
        <x:v>Binding pending</x:v>
      </x:c>
      <x:c r="K302" s="1" t="str">
        <x:v>bricks-buildout/creatures/Mob_Bricks_Brickbug.glb</x:v>
      </x:c>
      <x:c r="L302" s="1" t="str">
        <x:v>91a5cb0c754180222f2b2f841f5824acd48fd6fed4c38e29e323da3e490e7516</x:v>
      </x:c>
      <x:c r="M302" s="16" t="n">
        <x:v>1</x:v>
      </x:c>
      <x:c r="N302" s="1" t="str">
        <x:v>n.a.</x:v>
      </x:c>
      <x:c r="O302" s="1" t="str">
        <x:v>n.a.</x:v>
      </x:c>
      <x:c r="P302" s="1" t="n">
        <x:v>0</x:v>
      </x:c>
      <x:c r="Q302" s="5" t="str">
        <x:v>Codex original</x:v>
      </x:c>
    </x:row>
    <x:row r="303" ht="38" customHeight="1">
      <x:c r="A303" s="1" t="str">
        <x:v>Mob_Bricks_LooseStud</x:v>
      </x:c>
      <x:c r="B303" s="1" t="str">
        <x:v>Character</x:v>
      </x:c>
      <x:c r="C303" s="1" t="str">
        <x:v>Brick Realm</x:v>
      </x:c>
      <x:c r="D303" s="5" t="str">
        <x:v>Construct encounter</x:v>
      </x:c>
      <x:c r="E303" s="7" t="n">
        <x:v>1128</x:v>
      </x:c>
      <x:c r="F303" s="1" t="str">
        <x:v>BrickCreatureV1</x:v>
      </x:c>
      <x:c r="G303" s="5" t="str">
        <x:v>Idle, Walk, Attack, Hurt</x:v>
      </x:c>
      <x:c r="H303" s="1" t="str">
        <x:v>Validated</x:v>
      </x:c>
      <x:c r="I303" s="1" t="str">
        <x:v>Pending</x:v>
      </x:c>
      <x:c r="J303" s="1" t="str">
        <x:v>Binding pending</x:v>
      </x:c>
      <x:c r="K303" s="1" t="str">
        <x:v>bricks-buildout/creatures/Mob_Bricks_LooseStud.glb</x:v>
      </x:c>
      <x:c r="L303" s="1" t="str">
        <x:v>28a87b1a8b1e1fe1359f65f3becd3e8909e37fe26fd22ff6d373ec6d3f6b0877</x:v>
      </x:c>
      <x:c r="M303" s="16" t="n">
        <x:v>1</x:v>
      </x:c>
      <x:c r="N303" s="1" t="str">
        <x:v>n.a.</x:v>
      </x:c>
      <x:c r="O303" s="1" t="str">
        <x:v>n.a.</x:v>
      </x:c>
      <x:c r="P303" s="1" t="n">
        <x:v>0</x:v>
      </x:c>
      <x:c r="Q303" s="5" t="str">
        <x:v>Codex original</x:v>
      </x:c>
    </x:row>
    <x:row r="304" ht="38" customHeight="1">
      <x:c r="A304" s="1" t="str">
        <x:v>Mob_Bricks_PlateCrab</x:v>
      </x:c>
      <x:c r="B304" s="1" t="str">
        <x:v>Character</x:v>
      </x:c>
      <x:c r="C304" s="1" t="str">
        <x:v>Brick Realm</x:v>
      </x:c>
      <x:c r="D304" s="5" t="str">
        <x:v>Construct encounter</x:v>
      </x:c>
      <x:c r="E304" s="7" t="n">
        <x:v>1560</x:v>
      </x:c>
      <x:c r="F304" s="1" t="str">
        <x:v>BrickCreatureV1</x:v>
      </x:c>
      <x:c r="G304" s="5" t="str">
        <x:v>Idle, Walk, Attack, Hurt</x:v>
      </x:c>
      <x:c r="H304" s="1" t="str">
        <x:v>Validated</x:v>
      </x:c>
      <x:c r="I304" s="1" t="str">
        <x:v>Pending</x:v>
      </x:c>
      <x:c r="J304" s="1" t="str">
        <x:v>Binding pending</x:v>
      </x:c>
      <x:c r="K304" s="1" t="str">
        <x:v>bricks-buildout/creatures/Mob_Bricks_PlateCrab.glb</x:v>
      </x:c>
      <x:c r="L304" s="1" t="str">
        <x:v>37df4b8ff849f1bacacfb26b8c77e3a7ebc119d03adaba6d001ed6505e5fdd3f</x:v>
      </x:c>
      <x:c r="M304" s="16" t="n">
        <x:v>1</x:v>
      </x:c>
      <x:c r="N304" s="1" t="str">
        <x:v>n.a.</x:v>
      </x:c>
      <x:c r="O304" s="1" t="str">
        <x:v>n.a.</x:v>
      </x:c>
      <x:c r="P304" s="1" t="n">
        <x:v>0</x:v>
      </x:c>
      <x:c r="Q304" s="5" t="str">
        <x:v>Codex original</x:v>
      </x:c>
    </x:row>
    <x:row r="305" ht="38" customHeight="1">
      <x:c r="A305" s="1" t="str">
        <x:v>Mob_Bricks_HingeHound</x:v>
      </x:c>
      <x:c r="B305" s="1" t="str">
        <x:v>Character</x:v>
      </x:c>
      <x:c r="C305" s="1" t="str">
        <x:v>Brick Realm</x:v>
      </x:c>
      <x:c r="D305" s="5" t="str">
        <x:v>Construct encounter</x:v>
      </x:c>
      <x:c r="E305" s="7" t="n">
        <x:v>1448</x:v>
      </x:c>
      <x:c r="F305" s="1" t="str">
        <x:v>BrickCreatureV1</x:v>
      </x:c>
      <x:c r="G305" s="5" t="str">
        <x:v>Idle, Walk, Attack, Hurt</x:v>
      </x:c>
      <x:c r="H305" s="1" t="str">
        <x:v>Validated</x:v>
      </x:c>
      <x:c r="I305" s="1" t="str">
        <x:v>Pending</x:v>
      </x:c>
      <x:c r="J305" s="1" t="str">
        <x:v>Binding pending</x:v>
      </x:c>
      <x:c r="K305" s="1" t="str">
        <x:v>bricks-buildout/creatures/Mob_Bricks_HingeHound.glb</x:v>
      </x:c>
      <x:c r="L305" s="1" t="str">
        <x:v>68e9781ee2167d8b376f50d5571154ee9c9408ba1f32ac407046133fffb21e73</x:v>
      </x:c>
      <x:c r="M305" s="16" t="n">
        <x:v>1</x:v>
      </x:c>
      <x:c r="N305" s="1" t="str">
        <x:v>n.a.</x:v>
      </x:c>
      <x:c r="O305" s="1" t="str">
        <x:v>n.a.</x:v>
      </x:c>
      <x:c r="P305" s="1" t="n">
        <x:v>0</x:v>
      </x:c>
      <x:c r="Q305" s="5" t="str">
        <x:v>Codex original</x:v>
      </x:c>
    </x:row>
    <x:row r="306" ht="38" customHeight="1">
      <x:c r="A306" s="1" t="str">
        <x:v>Mob_Bricks_SlopeSlug</x:v>
      </x:c>
      <x:c r="B306" s="1" t="str">
        <x:v>Character</x:v>
      </x:c>
      <x:c r="C306" s="1" t="str">
        <x:v>Brick Realm</x:v>
      </x:c>
      <x:c r="D306" s="5" t="str">
        <x:v>Construct encounter</x:v>
      </x:c>
      <x:c r="E306" s="7" t="n">
        <x:v>1228</x:v>
      </x:c>
      <x:c r="F306" s="1" t="str">
        <x:v>BrickCreatureV1</x:v>
      </x:c>
      <x:c r="G306" s="5" t="str">
        <x:v>Idle, Walk, Attack, Hurt</x:v>
      </x:c>
      <x:c r="H306" s="1" t="str">
        <x:v>Validated</x:v>
      </x:c>
      <x:c r="I306" s="1" t="str">
        <x:v>Pending</x:v>
      </x:c>
      <x:c r="J306" s="1" t="str">
        <x:v>Binding pending</x:v>
      </x:c>
      <x:c r="K306" s="1" t="str">
        <x:v>bricks-buildout/creatures/Mob_Bricks_SlopeSlug.glb</x:v>
      </x:c>
      <x:c r="L306" s="1" t="str">
        <x:v>b2fcd6a2d8a18c1a901a7afb9129bb1d8708788c13597d5883d52cd7172d5d38</x:v>
      </x:c>
      <x:c r="M306" s="16" t="n">
        <x:v>1</x:v>
      </x:c>
      <x:c r="N306" s="1" t="str">
        <x:v>n.a.</x:v>
      </x:c>
      <x:c r="O306" s="1" t="str">
        <x:v>n.a.</x:v>
      </x:c>
      <x:c r="P306" s="1" t="n">
        <x:v>0</x:v>
      </x:c>
      <x:c r="Q306" s="5" t="str">
        <x:v>Codex original</x:v>
      </x:c>
    </x:row>
    <x:row r="307" ht="38" customHeight="1">
      <x:c r="A307" s="1" t="str">
        <x:v>Mob_Bricks_RebuildRex</x:v>
      </x:c>
      <x:c r="B307" s="1" t="str">
        <x:v>Character</x:v>
      </x:c>
      <x:c r="C307" s="1" t="str">
        <x:v>Brick Realm</x:v>
      </x:c>
      <x:c r="D307" s="5" t="str">
        <x:v>Boss proposal</x:v>
      </x:c>
      <x:c r="E307" s="7" t="n">
        <x:v>1466</x:v>
      </x:c>
      <x:c r="F307" s="1" t="str">
        <x:v>BrickCreatureV1</x:v>
      </x:c>
      <x:c r="G307" s="5" t="str">
        <x:v>Idle, Walk, Attack, Hurt</x:v>
      </x:c>
      <x:c r="H307" s="1" t="str">
        <x:v>Validated</x:v>
      </x:c>
      <x:c r="I307" s="1" t="str">
        <x:v>Pending</x:v>
      </x:c>
      <x:c r="J307" s="1" t="str">
        <x:v>Binding pending</x:v>
      </x:c>
      <x:c r="K307" s="1" t="str">
        <x:v>bricks-buildout/creatures/Mob_Bricks_RebuildRex.glb</x:v>
      </x:c>
      <x:c r="L307" s="1" t="str">
        <x:v>c22f01f3e5352f0e28c502431f08434831c05379999dc9e5bb4b04635f1f1f3c</x:v>
      </x:c>
      <x:c r="M307" s="16" t="n">
        <x:v>1</x:v>
      </x:c>
      <x:c r="N307" s="1" t="str">
        <x:v>n.a.</x:v>
      </x:c>
      <x:c r="O307" s="1" t="str">
        <x:v>n.a.</x:v>
      </x:c>
      <x:c r="P307" s="1" t="n">
        <x:v>0</x:v>
      </x:c>
      <x:c r="Q307" s="5" t="str">
        <x:v>Codex original</x:v>
      </x:c>
    </x:row>
    <x:row r="308" ht="38" customHeight="1">
      <x:c r="A308" s="1" t="str">
        <x:v>Mob_Bricks_WindUpKnight</x:v>
      </x:c>
      <x:c r="B308" s="1" t="str">
        <x:v>Character</x:v>
      </x:c>
      <x:c r="C308" s="1" t="str">
        <x:v>Brick Realm</x:v>
      </x:c>
      <x:c r="D308" s="5" t="str">
        <x:v>Construct encounter</x:v>
      </x:c>
      <x:c r="E308" s="7" t="n">
        <x:v>1508</x:v>
      </x:c>
      <x:c r="F308" s="1" t="str">
        <x:v>BrickCreatureV1</x:v>
      </x:c>
      <x:c r="G308" s="5" t="str">
        <x:v>Idle, Walk, Attack, Hurt</x:v>
      </x:c>
      <x:c r="H308" s="1" t="str">
        <x:v>Validated</x:v>
      </x:c>
      <x:c r="I308" s="1" t="str">
        <x:v>Pending</x:v>
      </x:c>
      <x:c r="J308" s="1" t="str">
        <x:v>Binding pending</x:v>
      </x:c>
      <x:c r="K308" s="1" t="str">
        <x:v>bricks-buildout/creatures/Mob_Bricks_WindUpKnight.glb</x:v>
      </x:c>
      <x:c r="L308" s="1" t="str">
        <x:v>73b6a5e92cb63f4f1673e53f69810023bea7afd2c7d6b3ecbfa4a220d023f32b</x:v>
      </x:c>
      <x:c r="M308" s="16" t="n">
        <x:v>1</x:v>
      </x:c>
      <x:c r="N308" s="1" t="str">
        <x:v>n.a.</x:v>
      </x:c>
      <x:c r="O308" s="1" t="str">
        <x:v>n.a.</x:v>
      </x:c>
      <x:c r="P308" s="1" t="n">
        <x:v>0</x:v>
      </x:c>
      <x:c r="Q308" s="5" t="str">
        <x:v>Codex original</x:v>
      </x:c>
    </x:row>
    <x:row r="309" ht="38" customHeight="1">
      <x:c r="A309" s="1" t="str">
        <x:v>Mob_Bricks_TowerTitan</x:v>
      </x:c>
      <x:c r="B309" s="1" t="str">
        <x:v>Character</x:v>
      </x:c>
      <x:c r="C309" s="1" t="str">
        <x:v>Brick Realm</x:v>
      </x:c>
      <x:c r="D309" s="5" t="str">
        <x:v>Boss proposal</x:v>
      </x:c>
      <x:c r="E309" s="7" t="n">
        <x:v>1504</x:v>
      </x:c>
      <x:c r="F309" s="1" t="str">
        <x:v>BrickCreatureV1</x:v>
      </x:c>
      <x:c r="G309" s="5" t="str">
        <x:v>Idle, Walk, Attack, Hurt</x:v>
      </x:c>
      <x:c r="H309" s="1" t="str">
        <x:v>Validated</x:v>
      </x:c>
      <x:c r="I309" s="1" t="str">
        <x:v>Pending</x:v>
      </x:c>
      <x:c r="J309" s="1" t="str">
        <x:v>Binding pending</x:v>
      </x:c>
      <x:c r="K309" s="1" t="str">
        <x:v>bricks-buildout/creatures/Mob_Bricks_TowerTitan.glb</x:v>
      </x:c>
      <x:c r="L309" s="1" t="str">
        <x:v>6f74988f38257a1fe828e62d4cb61fb8d9c701ae0c6c59af58dad8cc2338e7df</x:v>
      </x:c>
      <x:c r="M309" s="16" t="n">
        <x:v>1</x:v>
      </x:c>
      <x:c r="N309" s="1" t="str">
        <x:v>n.a.</x:v>
      </x:c>
      <x:c r="O309" s="1" t="str">
        <x:v>n.a.</x:v>
      </x:c>
      <x:c r="P309" s="1" t="n">
        <x:v>0</x:v>
      </x:c>
      <x:c r="Q309" s="5" t="str">
        <x:v>Codex original</x:v>
      </x:c>
    </x:row>
    <x:row r="310" ht="38" customHeight="1">
      <x:c r="A310" s="1" t="str">
        <x:v>Mob_Bricks_MagnetMoth</x:v>
      </x:c>
      <x:c r="B310" s="1" t="str">
        <x:v>Character</x:v>
      </x:c>
      <x:c r="C310" s="1" t="str">
        <x:v>Brick Realm</x:v>
      </x:c>
      <x:c r="D310" s="5" t="str">
        <x:v>Construct encounter</x:v>
      </x:c>
      <x:c r="E310" s="7" t="n">
        <x:v>1572</x:v>
      </x:c>
      <x:c r="F310" s="1" t="str">
        <x:v>BrickCreatureV1</x:v>
      </x:c>
      <x:c r="G310" s="5" t="str">
        <x:v>Idle, Walk, Attack, Hurt</x:v>
      </x:c>
      <x:c r="H310" s="1" t="str">
        <x:v>Validated</x:v>
      </x:c>
      <x:c r="I310" s="1" t="str">
        <x:v>Pending</x:v>
      </x:c>
      <x:c r="J310" s="1" t="str">
        <x:v>Binding pending</x:v>
      </x:c>
      <x:c r="K310" s="1" t="str">
        <x:v>bricks-buildout/creatures/Mob_Bricks_MagnetMoth.glb</x:v>
      </x:c>
      <x:c r="L310" s="1" t="str">
        <x:v>dcefaa4c4251ed626a41dcfe88b5a4b132212dab61bdfc7b1dea24840ce3c807</x:v>
      </x:c>
      <x:c r="M310" s="16" t="n">
        <x:v>1</x:v>
      </x:c>
      <x:c r="N310" s="1" t="str">
        <x:v>n.a.</x:v>
      </x:c>
      <x:c r="O310" s="1" t="str">
        <x:v>n.a.</x:v>
      </x:c>
      <x:c r="P310" s="1" t="n">
        <x:v>0</x:v>
      </x:c>
      <x:c r="Q310" s="5" t="str">
        <x:v>Codex original</x:v>
      </x:c>
    </x:row>
    <x:row r="311" ht="38" customHeight="1">
      <x:c r="A311" s="1" t="str">
        <x:v>Mob_Bricks_Unmaker</x:v>
      </x:c>
      <x:c r="B311" s="1" t="str">
        <x:v>Character</x:v>
      </x:c>
      <x:c r="C311" s="1" t="str">
        <x:v>Brick Realm</x:v>
      </x:c>
      <x:c r="D311" s="5" t="str">
        <x:v>Boss proposal; visual only, no structure authority</x:v>
      </x:c>
      <x:c r="E311" s="7" t="n">
        <x:v>1260</x:v>
      </x:c>
      <x:c r="F311" s="1" t="str">
        <x:v>BrickCreatureV1</x:v>
      </x:c>
      <x:c r="G311" s="5" t="str">
        <x:v>Idle, Walk, Attack, Hurt</x:v>
      </x:c>
      <x:c r="H311" s="1" t="str">
        <x:v>Validated</x:v>
      </x:c>
      <x:c r="I311" s="1" t="str">
        <x:v>Pending</x:v>
      </x:c>
      <x:c r="J311" s="1" t="str">
        <x:v>Binding pending</x:v>
      </x:c>
      <x:c r="K311" s="1" t="str">
        <x:v>bricks-buildout/creatures/Mob_Bricks_Unmaker.glb</x:v>
      </x:c>
      <x:c r="L311" s="1" t="str">
        <x:v>3357f980c0f10f7b072a006d3996d55ee160aabdc7d3a3d9bed30d11b4a97a96</x:v>
      </x:c>
      <x:c r="M311" s="16" t="n">
        <x:v>1</x:v>
      </x:c>
      <x:c r="N311" s="1" t="str">
        <x:v>n.a.</x:v>
      </x:c>
      <x:c r="O311" s="1" t="str">
        <x:v>n.a.</x:v>
      </x:c>
      <x:c r="P311" s="1" t="n">
        <x:v>0</x:v>
      </x:c>
      <x:c r="Q311" s="5" t="str">
        <x:v>Codex original</x:v>
      </x:c>
    </x:row>
    <x:row r="312" ht="38" customHeight="1">
      <x:c r="A312" s="1" t="str">
        <x:v>Mob_Bricks_ClockworkPigeon</x:v>
      </x:c>
      <x:c r="B312" s="1" t="str">
        <x:v>Character</x:v>
      </x:c>
      <x:c r="C312" s="1" t="str">
        <x:v>Brick Realm</x:v>
      </x:c>
      <x:c r="D312" s="5" t="str">
        <x:v>Ambient bird</x:v>
      </x:c>
      <x:c r="E312" s="7" t="n">
        <x:v>1484</x:v>
      </x:c>
      <x:c r="F312" s="1" t="str">
        <x:v>BrickCreatureV1</x:v>
      </x:c>
      <x:c r="G312" s="5" t="str">
        <x:v>Idle, Walk, Attack, Hurt</x:v>
      </x:c>
      <x:c r="H312" s="1" t="str">
        <x:v>Validated</x:v>
      </x:c>
      <x:c r="I312" s="1" t="str">
        <x:v>Pending</x:v>
      </x:c>
      <x:c r="J312" s="1" t="str">
        <x:v>Binding pending</x:v>
      </x:c>
      <x:c r="K312" s="1" t="str">
        <x:v>bricks-buildout/creatures/Mob_Bricks_ClockworkPigeon.glb</x:v>
      </x:c>
      <x:c r="L312" s="1" t="str">
        <x:v>b2384620d57338f37b06ab1bbcce36ccdc2546f8a20080ce656af388c7d224ca</x:v>
      </x:c>
      <x:c r="M312" s="16" t="n">
        <x:v>1</x:v>
      </x:c>
      <x:c r="N312" s="1" t="str">
        <x:v>n.a.</x:v>
      </x:c>
      <x:c r="O312" s="1" t="str">
        <x:v>n.a.</x:v>
      </x:c>
      <x:c r="P312" s="1" t="n">
        <x:v>0</x:v>
      </x:c>
      <x:c r="Q312" s="5" t="str">
        <x:v>Codex original</x:v>
      </x:c>
    </x:row>
    <x:row r="313" ht="38" customHeight="1">
      <x:c r="A313" s="1" t="str">
        <x:v>Mob_Bricks_SpringFrog</x:v>
      </x:c>
      <x:c r="B313" s="1" t="str">
        <x:v>Character</x:v>
      </x:c>
      <x:c r="C313" s="1" t="str">
        <x:v>Brick Realm</x:v>
      </x:c>
      <x:c r="D313" s="5" t="str">
        <x:v>Ambient creature</x:v>
      </x:c>
      <x:c r="E313" s="7" t="n">
        <x:v>1360</x:v>
      </x:c>
      <x:c r="F313" s="1" t="str">
        <x:v>BrickCreatureV1</x:v>
      </x:c>
      <x:c r="G313" s="5" t="str">
        <x:v>Idle, Walk, Attack, Hurt</x:v>
      </x:c>
      <x:c r="H313" s="1" t="str">
        <x:v>Validated</x:v>
      </x:c>
      <x:c r="I313" s="1" t="str">
        <x:v>Pending</x:v>
      </x:c>
      <x:c r="J313" s="1" t="str">
        <x:v>Binding pending</x:v>
      </x:c>
      <x:c r="K313" s="1" t="str">
        <x:v>bricks-buildout/creatures/Mob_Bricks_SpringFrog.glb</x:v>
      </x:c>
      <x:c r="L313" s="1" t="str">
        <x:v>b45e929a445f028cea430c0310872093fb64a48cc41103b11a24e78e260f060f</x:v>
      </x:c>
      <x:c r="M313" s="16" t="n">
        <x:v>1</x:v>
      </x:c>
      <x:c r="N313" s="1" t="str">
        <x:v>n.a.</x:v>
      </x:c>
      <x:c r="O313" s="1" t="str">
        <x:v>n.a.</x:v>
      </x:c>
      <x:c r="P313" s="1" t="n">
        <x:v>0</x:v>
      </x:c>
      <x:c r="Q313" s="5" t="str">
        <x:v>Codex original</x:v>
      </x:c>
    </x:row>
    <x:row r="314" ht="38" customHeight="1">
      <x:c r="A314" s="1" t="str">
        <x:v>Mob_Bricks_BrickPlane</x:v>
      </x:c>
      <x:c r="B314" s="1" t="str">
        <x:v>Character</x:v>
      </x:c>
      <x:c r="C314" s="1" t="str">
        <x:v>Brick Realm</x:v>
      </x:c>
      <x:c r="D314" s="5" t="str">
        <x:v>Realm vehicle; flight pending</x:v>
      </x:c>
      <x:c r="E314" s="7" t="n">
        <x:v>1572</x:v>
      </x:c>
      <x:c r="F314" s="1" t="str">
        <x:v>BrickCreatureV1</x:v>
      </x:c>
      <x:c r="G314" s="5" t="str">
        <x:v>Idle, Walk, Attack, Hurt</x:v>
      </x:c>
      <x:c r="H314" s="1" t="str">
        <x:v>Validated</x:v>
      </x:c>
      <x:c r="I314" s="1" t="str">
        <x:v>Pending</x:v>
      </x:c>
      <x:c r="J314" s="1" t="str">
        <x:v>Binding pending</x:v>
      </x:c>
      <x:c r="K314" s="1" t="str">
        <x:v>bricks-buildout/creatures/Mob_Bricks_BrickPlane.glb</x:v>
      </x:c>
      <x:c r="L314" s="1" t="str">
        <x:v>a6f637b505a7dab8169a6ee9950a55b3c734fc60eb2735ce2916d8c730a50b39</x:v>
      </x:c>
      <x:c r="M314" s="16" t="n">
        <x:v>1</x:v>
      </x:c>
      <x:c r="N314" s="1" t="str">
        <x:v>n.a.</x:v>
      </x:c>
      <x:c r="O314" s="1" t="str">
        <x:v>n.a.</x:v>
      </x:c>
      <x:c r="P314" s="1" t="n">
        <x:v>0</x:v>
      </x:c>
      <x:c r="Q314" s="5" t="str">
        <x:v>Codex original</x:v>
      </x:c>
    </x:row>
    <x:row r="315" ht="38" customHeight="1">
      <x:c r="A315" s="1" t="str">
        <x:v>Mob_Bricks_BrickPony</x:v>
      </x:c>
      <x:c r="B315" s="1" t="str">
        <x:v>Character</x:v>
      </x:c>
      <x:c r="C315" s="1" t="str">
        <x:v>Brick Realm</x:v>
      </x:c>
      <x:c r="D315" s="5" t="str">
        <x:v>Realm mount</x:v>
      </x:c>
      <x:c r="E315" s="7" t="n">
        <x:v>1492</x:v>
      </x:c>
      <x:c r="F315" s="1" t="str">
        <x:v>BrickCreatureV1</x:v>
      </x:c>
      <x:c r="G315" s="5" t="str">
        <x:v>Idle, Walk, Attack, Hurt</x:v>
      </x:c>
      <x:c r="H315" s="1" t="str">
        <x:v>Validated</x:v>
      </x:c>
      <x:c r="I315" s="1" t="str">
        <x:v>Pending</x:v>
      </x:c>
      <x:c r="J315" s="1" t="str">
        <x:v>Binding pending</x:v>
      </x:c>
      <x:c r="K315" s="1" t="str">
        <x:v>bricks-buildout/creatures/Mob_Bricks_BrickPony.glb</x:v>
      </x:c>
      <x:c r="L315" s="1" t="str">
        <x:v>e0ca8af130705a5a9fd9581a737fed746f03ecc7b2ae3cf0bf9960ee7b5feccb</x:v>
      </x:c>
      <x:c r="M315" s="16" t="n">
        <x:v>1</x:v>
      </x:c>
      <x:c r="N315" s="1" t="str">
        <x:v>n.a.</x:v>
      </x:c>
      <x:c r="O315" s="1" t="str">
        <x:v>n.a.</x:v>
      </x:c>
      <x:c r="P315" s="1" t="n">
        <x:v>0</x:v>
      </x:c>
      <x:c r="Q315" s="5" t="str">
        <x:v>Codex original</x:v>
      </x:c>
    </x:row>
    <x:row r="316" ht="38" customHeight="1">
      <x:c r="A316" s="1" t="str">
        <x:v>Mob_Bricks_HoverCart</x:v>
      </x:c>
      <x:c r="B316" s="1" t="str">
        <x:v>Character</x:v>
      </x:c>
      <x:c r="C316" s="1" t="str">
        <x:v>Brick Realm</x:v>
      </x:c>
      <x:c r="D316" s="5" t="str">
        <x:v>Realm vehicle; hover physics pending</x:v>
      </x:c>
      <x:c r="E316" s="7" t="n">
        <x:v>1252</x:v>
      </x:c>
      <x:c r="F316" s="1" t="str">
        <x:v>BrickCreatureV1</x:v>
      </x:c>
      <x:c r="G316" s="5" t="str">
        <x:v>Idle, Walk, Attack, Hurt</x:v>
      </x:c>
      <x:c r="H316" s="1" t="str">
        <x:v>Validated</x:v>
      </x:c>
      <x:c r="I316" s="1" t="str">
        <x:v>Pending</x:v>
      </x:c>
      <x:c r="J316" s="1" t="str">
        <x:v>Binding pending</x:v>
      </x:c>
      <x:c r="K316" s="1" t="str">
        <x:v>bricks-buildout/creatures/Mob_Bricks_HoverCart.glb</x:v>
      </x:c>
      <x:c r="L316" s="1" t="str">
        <x:v>cba865393a63861b0776503533b8689820606bf2032bdf31beb7a39e06db6cf7</x:v>
      </x:c>
      <x:c r="M316" s="16" t="n">
        <x:v>1</x:v>
      </x:c>
      <x:c r="N316" s="1" t="str">
        <x:v>n.a.</x:v>
      </x:c>
      <x:c r="O316" s="1" t="str">
        <x:v>n.a.</x:v>
      </x:c>
      <x:c r="P316" s="1" t="n">
        <x:v>0</x:v>
      </x:c>
      <x:c r="Q316" s="5" t="str">
        <x:v>Codex original</x:v>
      </x:c>
    </x:row>
    <x:row r="317" ht="38" customHeight="1">
      <x:c r="A317" s="1" t="str">
        <x:v>Mob_Bricks_Studpup</x:v>
      </x:c>
      <x:c r="B317" s="1" t="str">
        <x:v>Character</x:v>
      </x:c>
      <x:c r="C317" s="1" t="str">
        <x:v>Brick Realm</x:v>
      </x:c>
      <x:c r="D317" s="5" t="str">
        <x:v>Helpful pet</x:v>
      </x:c>
      <x:c r="E317" s="7" t="n">
        <x:v>1640</x:v>
      </x:c>
      <x:c r="F317" s="1" t="str">
        <x:v>BrickCreatureV1</x:v>
      </x:c>
      <x:c r="G317" s="5" t="str">
        <x:v>Idle, Walk, Attack, Hurt</x:v>
      </x:c>
      <x:c r="H317" s="1" t="str">
        <x:v>Validated</x:v>
      </x:c>
      <x:c r="I317" s="1" t="str">
        <x:v>Pending</x:v>
      </x:c>
      <x:c r="J317" s="1" t="str">
        <x:v>Binding pending</x:v>
      </x:c>
      <x:c r="K317" s="1" t="str">
        <x:v>bricks-buildout/creatures/Mob_Bricks_Studpup.glb</x:v>
      </x:c>
      <x:c r="L317" s="1" t="str">
        <x:v>16f989ff1118a967c6650449e8df03f2882d73a90dc9b8acc74c7b8179fabb56</x:v>
      </x:c>
      <x:c r="M317" s="16" t="n">
        <x:v>1</x:v>
      </x:c>
      <x:c r="N317" s="1" t="str">
        <x:v>n.a.</x:v>
      </x:c>
      <x:c r="O317" s="1" t="str">
        <x:v>n.a.</x:v>
      </x:c>
      <x:c r="P317" s="1" t="n">
        <x:v>0</x:v>
      </x:c>
      <x:c r="Q317" s="5" t="str">
        <x:v>Codex original</x:v>
      </x:c>
    </x:row>
    <x:row r="318" ht="38" customHeight="1">
      <x:c r="A318" s="1" t="str">
        <x:v>Mob_Bricks_TileTurtle</x:v>
      </x:c>
      <x:c r="B318" s="1" t="str">
        <x:v>Character</x:v>
      </x:c>
      <x:c r="C318" s="1" t="str">
        <x:v>Brick Realm</x:v>
      </x:c>
      <x:c r="D318" s="5" t="str">
        <x:v>Helpful pet</x:v>
      </x:c>
      <x:c r="E318" s="7" t="n">
        <x:v>1372</x:v>
      </x:c>
      <x:c r="F318" s="1" t="str">
        <x:v>BrickCreatureV1</x:v>
      </x:c>
      <x:c r="G318" s="5" t="str">
        <x:v>Idle, Walk, Attack, Hurt</x:v>
      </x:c>
      <x:c r="H318" s="1" t="str">
        <x:v>Validated</x:v>
      </x:c>
      <x:c r="I318" s="1" t="str">
        <x:v>Pending</x:v>
      </x:c>
      <x:c r="J318" s="1" t="str">
        <x:v>Binding pending</x:v>
      </x:c>
      <x:c r="K318" s="1" t="str">
        <x:v>bricks-buildout/creatures/Mob_Bricks_TileTurtle.glb</x:v>
      </x:c>
      <x:c r="L318" s="1" t="str">
        <x:v>581bff04404792e130d727a90faab45cdb35fc0d2c8a7f2d6d2ff897c7118a8c</x:v>
      </x:c>
      <x:c r="M318" s="16" t="n">
        <x:v>1</x:v>
      </x:c>
      <x:c r="N318" s="1" t="str">
        <x:v>n.a.</x:v>
      </x:c>
      <x:c r="O318" s="1" t="str">
        <x:v>n.a.</x:v>
      </x:c>
      <x:c r="P318" s="1" t="n">
        <x:v>0</x:v>
      </x:c>
      <x:c r="Q318" s="5" t="str">
        <x:v>Codex original</x:v>
      </x:c>
    </x:row>
    <x:row r="319" ht="38" customHeight="1">
      <x:c r="A319" s="1" t="str">
        <x:v>Mob_Bricks_SpinnerTop</x:v>
      </x:c>
      <x:c r="B319" s="1" t="str">
        <x:v>Character</x:v>
      </x:c>
      <x:c r="C319" s="1" t="str">
        <x:v>Brick Realm</x:v>
      </x:c>
      <x:c r="D319" s="5" t="str">
        <x:v>Helpful pet</x:v>
      </x:c>
      <x:c r="E319" s="7" t="n">
        <x:v>1068</x:v>
      </x:c>
      <x:c r="F319" s="1" t="str">
        <x:v>BrickCreatureV1</x:v>
      </x:c>
      <x:c r="G319" s="5" t="str">
        <x:v>Idle, Walk, Attack, Hurt</x:v>
      </x:c>
      <x:c r="H319" s="1" t="str">
        <x:v>Validated</x:v>
      </x:c>
      <x:c r="I319" s="1" t="str">
        <x:v>Pending</x:v>
      </x:c>
      <x:c r="J319" s="1" t="str">
        <x:v>Binding pending</x:v>
      </x:c>
      <x:c r="K319" s="1" t="str">
        <x:v>bricks-buildout/creatures/Mob_Bricks_SpinnerTop.glb</x:v>
      </x:c>
      <x:c r="L319" s="1" t="str">
        <x:v>45de044480d15c69fb398c6634bff382fff0decf0bcbf8ca5beb4593e223587b</x:v>
      </x:c>
      <x:c r="M319" s="16" t="n">
        <x:v>1</x:v>
      </x:c>
      <x:c r="N319" s="1" t="str">
        <x:v>n.a.</x:v>
      </x:c>
      <x:c r="O319" s="1" t="str">
        <x:v>n.a.</x:v>
      </x:c>
      <x:c r="P319" s="1" t="n">
        <x:v>0</x:v>
      </x:c>
      <x:c r="Q319" s="5" t="str">
        <x:v>Codex original</x:v>
      </x:c>
    </x:row>
    <x:row r="320" ht="38" customHeight="1">
      <x:c r="A320" s="1" t="str">
        <x:v>Mob_Bricks_PocketBot</x:v>
      </x:c>
      <x:c r="B320" s="1" t="str">
        <x:v>Character</x:v>
      </x:c>
      <x:c r="C320" s="1" t="str">
        <x:v>Brick Realm</x:v>
      </x:c>
      <x:c r="D320" s="5" t="str">
        <x:v>Helpful pet</x:v>
      </x:c>
      <x:c r="E320" s="7" t="n">
        <x:v>1300</x:v>
      </x:c>
      <x:c r="F320" s="1" t="str">
        <x:v>BrickCreatureV1</x:v>
      </x:c>
      <x:c r="G320" s="5" t="str">
        <x:v>Idle, Walk, Attack, Hurt</x:v>
      </x:c>
      <x:c r="H320" s="1" t="str">
        <x:v>Validated</x:v>
      </x:c>
      <x:c r="I320" s="1" t="str">
        <x:v>Pending</x:v>
      </x:c>
      <x:c r="J320" s="1" t="str">
        <x:v>Binding pending</x:v>
      </x:c>
      <x:c r="K320" s="1" t="str">
        <x:v>bricks-buildout/creatures/Mob_Bricks_PocketBot.glb</x:v>
      </x:c>
      <x:c r="L320" s="1" t="str">
        <x:v>cb59f6b15eb89dbc57a9d7b164eba707a531b7a1cdc318c8844c67f7bb0fbab3</x:v>
      </x:c>
      <x:c r="M320" s="16" t="n">
        <x:v>1</x:v>
      </x:c>
      <x:c r="N320" s="1" t="str">
        <x:v>n.a.</x:v>
      </x:c>
      <x:c r="O320" s="1" t="str">
        <x:v>n.a.</x:v>
      </x:c>
      <x:c r="P320" s="1" t="n">
        <x:v>0</x:v>
      </x:c>
      <x:c r="Q320" s="5" t="str">
        <x:v>Codex original</x:v>
      </x:c>
    </x:row>
    <x:row r="321" ht="38" customHeight="1">
      <x:c r="A321" s="1" t="str">
        <x:v>Prop_Bricks_MeadowTile</x:v>
      </x:c>
      <x:c r="B321" s="1" t="str">
        <x:v>Prop</x:v>
      </x:c>
      <x:c r="C321" s="1" t="str">
        <x:v>Brick Realm</x:v>
      </x:c>
      <x:c r="D321" s="5" t="str">
        <x:v>Continuous meadow module</x:v>
      </x:c>
      <x:c r="E321" s="7" t="n">
        <x:v>12</x:v>
      </x:c>
      <x:c r="F321" s="1" t="str">
        <x:v>static</x:v>
      </x:c>
      <x:c r="G321" s="5" t="str"/>
      <x:c r="H321" s="1" t="str">
        <x:v>Validated</x:v>
      </x:c>
      <x:c r="I321" s="1" t="str">
        <x:v>Pending</x:v>
      </x:c>
      <x:c r="J321" s="1" t="str">
        <x:v>Binding pending</x:v>
      </x:c>
      <x:c r="K321" s="1" t="str">
        <x:v>bricks-buildout/environment/Prop_Bricks_MeadowTile.glb</x:v>
      </x:c>
      <x:c r="L321" s="1" t="str">
        <x:v>5cd9a36506b1a5e62fa35a2ea3e78b272906f177f950462b8b2082eecd6d167c</x:v>
      </x:c>
      <x:c r="M321" s="16" t="n">
        <x:v>0</x:v>
      </x:c>
      <x:c r="N321" s="1" t="str">
        <x:v>n.a.</x:v>
      </x:c>
      <x:c r="O321" s="1" t="str">
        <x:v>n.a.</x:v>
      </x:c>
      <x:c r="P321" s="1" t="n">
        <x:v>0</x:v>
      </x:c>
      <x:c r="Q321" s="5" t="str">
        <x:v>Codex original</x:v>
      </x:c>
    </x:row>
    <x:row r="322" ht="38" customHeight="1">
      <x:c r="A322" s="1" t="str">
        <x:v>Prop_Bricks_Baseplate</x:v>
      </x:c>
      <x:c r="B322" s="1" t="str">
        <x:v>Prop</x:v>
      </x:c>
      <x:c r="C322" s="1" t="str">
        <x:v>Brick Realm</x:v>
      </x:c>
      <x:c r="D322" s="5" t="str">
        <x:v>Construction floor</x:v>
      </x:c>
      <x:c r="E322" s="7" t="n">
        <x:v>264</x:v>
      </x:c>
      <x:c r="F322" s="1" t="str">
        <x:v>static</x:v>
      </x:c>
      <x:c r="G322" s="5" t="str"/>
      <x:c r="H322" s="1" t="str">
        <x:v>Validated</x:v>
      </x:c>
      <x:c r="I322" s="1" t="str">
        <x:v>Pending</x:v>
      </x:c>
      <x:c r="J322" s="1" t="str">
        <x:v>Binding pending</x:v>
      </x:c>
      <x:c r="K322" s="1" t="str">
        <x:v>bricks-buildout/environment/Prop_Bricks_Baseplate.glb</x:v>
      </x:c>
      <x:c r="L322" s="1" t="str">
        <x:v>a9f42f446dd6906ce27b36c20a7ba31693b4a7dc53cf8e222b5ecf17ea734dfc</x:v>
      </x:c>
      <x:c r="M322" s="16" t="n">
        <x:v>0</x:v>
      </x:c>
      <x:c r="N322" s="1" t="str">
        <x:v>n.a.</x:v>
      </x:c>
      <x:c r="O322" s="1" t="str">
        <x:v>n.a.</x:v>
      </x:c>
      <x:c r="P322" s="1" t="n">
        <x:v>0</x:v>
      </x:c>
      <x:c r="Q322" s="5" t="str">
        <x:v>Codex original</x:v>
      </x:c>
    </x:row>
    <x:row r="323" ht="38" customHeight="1">
      <x:c r="A323" s="1" t="str">
        <x:v>Prop_Bricks_RoadTile</x:v>
      </x:c>
      <x:c r="B323" s="1" t="str">
        <x:v>Prop</x:v>
      </x:c>
      <x:c r="C323" s="1" t="str">
        <x:v>Brick Realm</x:v>
      </x:c>
      <x:c r="D323" s="5" t="str">
        <x:v>Continuous vehicle road</x:v>
      </x:c>
      <x:c r="E323" s="7" t="n">
        <x:v>36</x:v>
      </x:c>
      <x:c r="F323" s="1" t="str">
        <x:v>static</x:v>
      </x:c>
      <x:c r="G323" s="5" t="str"/>
      <x:c r="H323" s="1" t="str">
        <x:v>Validated</x:v>
      </x:c>
      <x:c r="I323" s="1" t="str">
        <x:v>Pending</x:v>
      </x:c>
      <x:c r="J323" s="1" t="str">
        <x:v>Binding pending</x:v>
      </x:c>
      <x:c r="K323" s="1" t="str">
        <x:v>bricks-buildout/environment/Prop_Bricks_RoadTile.glb</x:v>
      </x:c>
      <x:c r="L323" s="1" t="str">
        <x:v>2014f4008a825dec8e000f7eee041063e898fc4c16dca704fc7c409ef616df99</x:v>
      </x:c>
      <x:c r="M323" s="16" t="n">
        <x:v>0</x:v>
      </x:c>
      <x:c r="N323" s="1" t="str">
        <x:v>n.a.</x:v>
      </x:c>
      <x:c r="O323" s="1" t="str">
        <x:v>n.a.</x:v>
      </x:c>
      <x:c r="P323" s="1" t="n">
        <x:v>0</x:v>
      </x:c>
      <x:c r="Q323" s="5" t="str">
        <x:v>Codex original</x:v>
      </x:c>
    </x:row>
    <x:row r="324" ht="38" customHeight="1">
      <x:c r="A324" s="1" t="str">
        <x:v>Prop_Bricks_Wall</x:v>
      </x:c>
      <x:c r="B324" s="1" t="str">
        <x:v>Prop</x:v>
      </x:c>
      <x:c r="C324" s="1" t="str">
        <x:v>Brick Realm</x:v>
      </x:c>
      <x:c r="D324" s="5" t="str">
        <x:v>Construction wall</x:v>
      </x:c>
      <x:c r="E324" s="7" t="n">
        <x:v>96</x:v>
      </x:c>
      <x:c r="F324" s="1" t="str">
        <x:v>static</x:v>
      </x:c>
      <x:c r="G324" s="5" t="str"/>
      <x:c r="H324" s="1" t="str">
        <x:v>Validated</x:v>
      </x:c>
      <x:c r="I324" s="1" t="str">
        <x:v>Pending</x:v>
      </x:c>
      <x:c r="J324" s="1" t="str">
        <x:v>Binding pending</x:v>
      </x:c>
      <x:c r="K324" s="1" t="str">
        <x:v>bricks-buildout/environment/Prop_Bricks_Wall.glb</x:v>
      </x:c>
      <x:c r="L324" s="1" t="str">
        <x:v>24277edf78515ec6271a2a80778758b864af5e1157e5a357f38d604a4712fff0</x:v>
      </x:c>
      <x:c r="M324" s="16" t="n">
        <x:v>0</x:v>
      </x:c>
      <x:c r="N324" s="1" t="str">
        <x:v>n.a.</x:v>
      </x:c>
      <x:c r="O324" s="1" t="str">
        <x:v>n.a.</x:v>
      </x:c>
      <x:c r="P324" s="1" t="n">
        <x:v>0</x:v>
      </x:c>
      <x:c r="Q324" s="5" t="str">
        <x:v>Codex original</x:v>
      </x:c>
    </x:row>
    <x:row r="325" ht="38" customHeight="1">
      <x:c r="A325" s="1" t="str">
        <x:v>Prop_Bricks_WindowWall</x:v>
      </x:c>
      <x:c r="B325" s="1" t="str">
        <x:v>Prop</x:v>
      </x:c>
      <x:c r="C325" s="1" t="str">
        <x:v>Brick Realm</x:v>
      </x:c>
      <x:c r="D325" s="5" t="str">
        <x:v>Window module</x:v>
      </x:c>
      <x:c r="E325" s="7" t="n">
        <x:v>132</x:v>
      </x:c>
      <x:c r="F325" s="1" t="str">
        <x:v>static</x:v>
      </x:c>
      <x:c r="G325" s="5" t="str"/>
      <x:c r="H325" s="1" t="str">
        <x:v>Validated</x:v>
      </x:c>
      <x:c r="I325" s="1" t="str">
        <x:v>Pending</x:v>
      </x:c>
      <x:c r="J325" s="1" t="str">
        <x:v>Binding pending</x:v>
      </x:c>
      <x:c r="K325" s="1" t="str">
        <x:v>bricks-buildout/environment/Prop_Bricks_WindowWall.glb</x:v>
      </x:c>
      <x:c r="L325" s="1" t="str">
        <x:v>03c83847a7d1d76edc2ad1cd0a48361e316e8735b9d8e6b54af2120954c2601f</x:v>
      </x:c>
      <x:c r="M325" s="16" t="n">
        <x:v>0</x:v>
      </x:c>
      <x:c r="N325" s="1" t="str">
        <x:v>n.a.</x:v>
      </x:c>
      <x:c r="O325" s="1" t="str">
        <x:v>n.a.</x:v>
      </x:c>
      <x:c r="P325" s="1" t="n">
        <x:v>0</x:v>
      </x:c>
      <x:c r="Q325" s="5" t="str">
        <x:v>Codex original</x:v>
      </x:c>
    </x:row>
    <x:row r="326" ht="38" customHeight="1">
      <x:c r="A326" s="1" t="str">
        <x:v>Prop_Bricks_DoorFrame</x:v>
      </x:c>
      <x:c r="B326" s="1" t="str">
        <x:v>Prop</x:v>
      </x:c>
      <x:c r="C326" s="1" t="str">
        <x:v>Brick Realm</x:v>
      </x:c>
      <x:c r="D326" s="5" t="str">
        <x:v>Clear doorway</x:v>
      </x:c>
      <x:c r="E326" s="7" t="n">
        <x:v>132</x:v>
      </x:c>
      <x:c r="F326" s="1" t="str">
        <x:v>static</x:v>
      </x:c>
      <x:c r="G326" s="5" t="str"/>
      <x:c r="H326" s="1" t="str">
        <x:v>Validated</x:v>
      </x:c>
      <x:c r="I326" s="1" t="str">
        <x:v>Pending</x:v>
      </x:c>
      <x:c r="J326" s="1" t="str">
        <x:v>Binding pending</x:v>
      </x:c>
      <x:c r="K326" s="1" t="str">
        <x:v>bricks-buildout/environment/Prop_Bricks_DoorFrame.glb</x:v>
      </x:c>
      <x:c r="L326" s="1" t="str">
        <x:v>764b6daa0a8baf3952eab7397d4bf86bea2170ae69effe75b863989a7d7a3468</x:v>
      </x:c>
      <x:c r="M326" s="16" t="n">
        <x:v>0</x:v>
      </x:c>
      <x:c r="N326" s="1" t="str">
        <x:v>n.a.</x:v>
      </x:c>
      <x:c r="O326" s="1" t="str">
        <x:v>n.a.</x:v>
      </x:c>
      <x:c r="P326" s="1" t="n">
        <x:v>0</x:v>
      </x:c>
      <x:c r="Q326" s="5" t="str">
        <x:v>Codex original</x:v>
      </x:c>
    </x:row>
    <x:row r="327" ht="38" customHeight="1">
      <x:c r="A327" s="1" t="str">
        <x:v>Prop_Bricks_Column</x:v>
      </x:c>
      <x:c r="B327" s="1" t="str">
        <x:v>Prop</x:v>
      </x:c>
      <x:c r="C327" s="1" t="str">
        <x:v>Brick Realm</x:v>
      </x:c>
      <x:c r="D327" s="5" t="str">
        <x:v>Corner support</x:v>
      </x:c>
      <x:c r="E327" s="7" t="n">
        <x:v>128</x:v>
      </x:c>
      <x:c r="F327" s="1" t="str">
        <x:v>static</x:v>
      </x:c>
      <x:c r="G327" s="5" t="str"/>
      <x:c r="H327" s="1" t="str">
        <x:v>Validated</x:v>
      </x:c>
      <x:c r="I327" s="1" t="str">
        <x:v>Pending</x:v>
      </x:c>
      <x:c r="J327" s="1" t="str">
        <x:v>Binding pending</x:v>
      </x:c>
      <x:c r="K327" s="1" t="str">
        <x:v>bricks-buildout/environment/Prop_Bricks_Column.glb</x:v>
      </x:c>
      <x:c r="L327" s="1" t="str">
        <x:v>a5c5ab57f686fdee644bb0b6b0f9ed29546b35e89015069083b1fd3ac1bcea0a</x:v>
      </x:c>
      <x:c r="M327" s="16" t="n">
        <x:v>0</x:v>
      </x:c>
      <x:c r="N327" s="1" t="str">
        <x:v>n.a.</x:v>
      </x:c>
      <x:c r="O327" s="1" t="str">
        <x:v>n.a.</x:v>
      </x:c>
      <x:c r="P327" s="1" t="n">
        <x:v>0</x:v>
      </x:c>
      <x:c r="Q327" s="5" t="str">
        <x:v>Codex original</x:v>
      </x:c>
    </x:row>
    <x:row r="328" ht="38" customHeight="1">
      <x:c r="A328" s="1" t="str">
        <x:v>Prop_Bricks_Rail</x:v>
      </x:c>
      <x:c r="B328" s="1" t="str">
        <x:v>Prop</x:v>
      </x:c>
      <x:c r="C328" s="1" t="str">
        <x:v>Brick Realm</x:v>
      </x:c>
      <x:c r="D328" s="5" t="str">
        <x:v>Raised platform boundary</x:v>
      </x:c>
      <x:c r="E328" s="7" t="n">
        <x:v>176</x:v>
      </x:c>
      <x:c r="F328" s="1" t="str">
        <x:v>static</x:v>
      </x:c>
      <x:c r="G328" s="5" t="str"/>
      <x:c r="H328" s="1" t="str">
        <x:v>Validated</x:v>
      </x:c>
      <x:c r="I328" s="1" t="str">
        <x:v>Pending</x:v>
      </x:c>
      <x:c r="J328" s="1" t="str">
        <x:v>Binding pending</x:v>
      </x:c>
      <x:c r="K328" s="1" t="str">
        <x:v>bricks-buildout/environment/Prop_Bricks_Rail.glb</x:v>
      </x:c>
      <x:c r="L328" s="1" t="str">
        <x:v>34a92d75f8d2c7b15ff388d7929e7d85c5c18023057a0e4d33a7014fcf93edd5</x:v>
      </x:c>
      <x:c r="M328" s="16" t="n">
        <x:v>0</x:v>
      </x:c>
      <x:c r="N328" s="1" t="str">
        <x:v>n.a.</x:v>
      </x:c>
      <x:c r="O328" s="1" t="str">
        <x:v>n.a.</x:v>
      </x:c>
      <x:c r="P328" s="1" t="n">
        <x:v>0</x:v>
      </x:c>
      <x:c r="Q328" s="5" t="str">
        <x:v>Codex original</x:v>
      </x:c>
    </x:row>
    <x:row r="329" ht="38" customHeight="1">
      <x:c r="A329" s="1" t="str">
        <x:v>Prop_Bricks_Ramp</x:v>
      </x:c>
      <x:c r="B329" s="1" t="str">
        <x:v>Prop</x:v>
      </x:c>
      <x:c r="C329" s="1" t="str">
        <x:v>Brick Realm</x:v>
      </x:c>
      <x:c r="D329" s="5" t="str">
        <x:v>Continuous access slope</x:v>
      </x:c>
      <x:c r="E329" s="7" t="n">
        <x:v>12</x:v>
      </x:c>
      <x:c r="F329" s="1" t="str">
        <x:v>static</x:v>
      </x:c>
      <x:c r="G329" s="5" t="str"/>
      <x:c r="H329" s="1" t="str">
        <x:v>Validated</x:v>
      </x:c>
      <x:c r="I329" s="1" t="str">
        <x:v>Pending</x:v>
      </x:c>
      <x:c r="J329" s="1" t="str">
        <x:v>Binding pending</x:v>
      </x:c>
      <x:c r="K329" s="1" t="str">
        <x:v>bricks-buildout/environment/Prop_Bricks_Ramp.glb</x:v>
      </x:c>
      <x:c r="L329" s="1" t="str">
        <x:v>12e211ea909f59f9a8f21e305872991da8c0cbc479e94375c4132e716b465c5a</x:v>
      </x:c>
      <x:c r="M329" s="16" t="n">
        <x:v>0</x:v>
      </x:c>
      <x:c r="N329" s="1" t="str">
        <x:v>n.a.</x:v>
      </x:c>
      <x:c r="O329" s="1" t="str">
        <x:v>n.a.</x:v>
      </x:c>
      <x:c r="P329" s="1" t="n">
        <x:v>0</x:v>
      </x:c>
      <x:c r="Q329" s="5" t="str">
        <x:v>Codex original</x:v>
      </x:c>
    </x:row>
    <x:row r="330" ht="38" customHeight="1">
      <x:c r="A330" s="1" t="str">
        <x:v>Prop_Bricks_Stairs</x:v>
      </x:c>
      <x:c r="B330" s="1" t="str">
        <x:v>Prop</x:v>
      </x:c>
      <x:c r="C330" s="1" t="str">
        <x:v>Brick Realm</x:v>
      </x:c>
      <x:c r="D330" s="5" t="str">
        <x:v>Raised platform access</x:v>
      </x:c>
      <x:c r="E330" s="7" t="n">
        <x:v>60</x:v>
      </x:c>
      <x:c r="F330" s="1" t="str">
        <x:v>static</x:v>
      </x:c>
      <x:c r="G330" s="5" t="str"/>
      <x:c r="H330" s="1" t="str">
        <x:v>Validated</x:v>
      </x:c>
      <x:c r="I330" s="1" t="str">
        <x:v>Pending</x:v>
      </x:c>
      <x:c r="J330" s="1" t="str">
        <x:v>Binding pending</x:v>
      </x:c>
      <x:c r="K330" s="1" t="str">
        <x:v>bricks-buildout/environment/Prop_Bricks_Stairs.glb</x:v>
      </x:c>
      <x:c r="L330" s="1" t="str">
        <x:v>a02432fddb1f68f770ff83fdad7daf1bdcc2322a14a3ee4e0c53e71268678ccd</x:v>
      </x:c>
      <x:c r="M330" s="16" t="n">
        <x:v>0</x:v>
      </x:c>
      <x:c r="N330" s="1" t="str">
        <x:v>n.a.</x:v>
      </x:c>
      <x:c r="O330" s="1" t="str">
        <x:v>n.a.</x:v>
      </x:c>
      <x:c r="P330" s="1" t="n">
        <x:v>0</x:v>
      </x:c>
      <x:c r="Q330" s="5" t="str">
        <x:v>Codex original</x:v>
      </x:c>
    </x:row>
    <x:row r="331" ht="38" customHeight="1">
      <x:c r="A331" s="1" t="str">
        <x:v>Prop_Bricks_Workbench</x:v>
      </x:c>
      <x:c r="B331" s="1" t="str">
        <x:v>Prop</x:v>
      </x:c>
      <x:c r="C331" s="1" t="str">
        <x:v>Brick Realm</x:v>
      </x:c>
      <x:c r="D331" s="5" t="str">
        <x:v>Repair station</x:v>
      </x:c>
      <x:c r="E331" s="7" t="n">
        <x:v>324</x:v>
      </x:c>
      <x:c r="F331" s="1" t="str">
        <x:v>static</x:v>
      </x:c>
      <x:c r="G331" s="5" t="str"/>
      <x:c r="H331" s="1" t="str">
        <x:v>Validated</x:v>
      </x:c>
      <x:c r="I331" s="1" t="str">
        <x:v>Pending</x:v>
      </x:c>
      <x:c r="J331" s="1" t="str">
        <x:v>Binding pending</x:v>
      </x:c>
      <x:c r="K331" s="1" t="str">
        <x:v>bricks-buildout/environment/Prop_Bricks_Workbench.glb</x:v>
      </x:c>
      <x:c r="L331" s="1" t="str">
        <x:v>1af99022ebe83b4b46abcd2f5a6fb0642d413ee4ac76c88ae7236472eebb2007</x:v>
      </x:c>
      <x:c r="M331" s="16" t="n">
        <x:v>0</x:v>
      </x:c>
      <x:c r="N331" s="1" t="str">
        <x:v>n.a.</x:v>
      </x:c>
      <x:c r="O331" s="1" t="str">
        <x:v>n.a.</x:v>
      </x:c>
      <x:c r="P331" s="1" t="n">
        <x:v>0</x:v>
      </x:c>
      <x:c r="Q331" s="5" t="str">
        <x:v>Codex original</x:v>
      </x:c>
    </x:row>
    <x:row r="332" ht="38" customHeight="1">
      <x:c r="A332" s="1" t="str">
        <x:v>Prop_Bricks_Kiln</x:v>
      </x:c>
      <x:c r="B332" s="1" t="str">
        <x:v>Prop</x:v>
      </x:c>
      <x:c r="C332" s="1" t="str">
        <x:v>Brick Realm</x:v>
      </x:c>
      <x:c r="D332" s="5" t="str">
        <x:v>Crafting station</x:v>
      </x:c>
      <x:c r="E332" s="7" t="n">
        <x:v>116</x:v>
      </x:c>
      <x:c r="F332" s="1" t="str">
        <x:v>static</x:v>
      </x:c>
      <x:c r="G332" s="5" t="str"/>
      <x:c r="H332" s="1" t="str">
        <x:v>Validated</x:v>
      </x:c>
      <x:c r="I332" s="1" t="str">
        <x:v>Pending</x:v>
      </x:c>
      <x:c r="J332" s="1" t="str">
        <x:v>Binding pending</x:v>
      </x:c>
      <x:c r="K332" s="1" t="str">
        <x:v>bricks-buildout/environment/Prop_Bricks_Kiln.glb</x:v>
      </x:c>
      <x:c r="L332" s="1" t="str">
        <x:v>928c25ee5b6463c0055f2912e97330a79fa191cd2c1d264b87f3373bc500785c</x:v>
      </x:c>
      <x:c r="M332" s="16" t="n">
        <x:v>0</x:v>
      </x:c>
      <x:c r="N332" s="1" t="str">
        <x:v>n.a.</x:v>
      </x:c>
      <x:c r="O332" s="1" t="str">
        <x:v>n.a.</x:v>
      </x:c>
      <x:c r="P332" s="1" t="n">
        <x:v>0</x:v>
      </x:c>
      <x:c r="Q332" s="5" t="str">
        <x:v>Codex original</x:v>
      </x:c>
    </x:row>
    <x:row r="333" ht="38" customHeight="1">
      <x:c r="A333" s="1" t="str">
        <x:v>Prop_Bricks_RecipeArchive</x:v>
      </x:c>
      <x:c r="B333" s="1" t="str">
        <x:v>Prop</x:v>
      </x:c>
      <x:c r="C333" s="1" t="str">
        <x:v>Brick Realm</x:v>
      </x:c>
      <x:c r="D333" s="5" t="str">
        <x:v>Blueprint archive</x:v>
      </x:c>
      <x:c r="E333" s="7" t="n">
        <x:v>396</x:v>
      </x:c>
      <x:c r="F333" s="1" t="str">
        <x:v>static</x:v>
      </x:c>
      <x:c r="G333" s="5" t="str"/>
      <x:c r="H333" s="1" t="str">
        <x:v>Validated</x:v>
      </x:c>
      <x:c r="I333" s="1" t="str">
        <x:v>Pending</x:v>
      </x:c>
      <x:c r="J333" s="1" t="str">
        <x:v>Binding pending</x:v>
      </x:c>
      <x:c r="K333" s="1" t="str">
        <x:v>bricks-buildout/environment/Prop_Bricks_RecipeArchive.glb</x:v>
      </x:c>
      <x:c r="L333" s="1" t="str">
        <x:v>9366096d23023d33b6a65e7cfce46ba1db38ee791c50814a91d0e638bf4aef54</x:v>
      </x:c>
      <x:c r="M333" s="16" t="n">
        <x:v>0</x:v>
      </x:c>
      <x:c r="N333" s="1" t="str">
        <x:v>n.a.</x:v>
      </x:c>
      <x:c r="O333" s="1" t="str">
        <x:v>n.a.</x:v>
      </x:c>
      <x:c r="P333" s="1" t="n">
        <x:v>0</x:v>
      </x:c>
      <x:c r="Q333" s="5" t="str">
        <x:v>Codex original</x:v>
      </x:c>
    </x:row>
    <x:row r="334" ht="38" customHeight="1">
      <x:c r="A334" s="1" t="str">
        <x:v>Prop_Bricks_CraneBase</x:v>
      </x:c>
      <x:c r="B334" s="1" t="str">
        <x:v>Prop</x:v>
      </x:c>
      <x:c r="C334" s="1" t="str">
        <x:v>Brick Realm</x:v>
      </x:c>
      <x:c r="D334" s="5" t="str">
        <x:v>Crane station</x:v>
      </x:c>
      <x:c r="E334" s="7" t="n">
        <x:v>360</x:v>
      </x:c>
      <x:c r="F334" s="1" t="str">
        <x:v>static</x:v>
      </x:c>
      <x:c r="G334" s="5" t="str"/>
      <x:c r="H334" s="1" t="str">
        <x:v>Validated</x:v>
      </x:c>
      <x:c r="I334" s="1" t="str">
        <x:v>Pending</x:v>
      </x:c>
      <x:c r="J334" s="1" t="str">
        <x:v>Binding pending</x:v>
      </x:c>
      <x:c r="K334" s="1" t="str">
        <x:v>bricks-buildout/environment/Prop_Bricks_CraneBase.glb</x:v>
      </x:c>
      <x:c r="L334" s="1" t="str">
        <x:v>6abced73aac2e1694db6446aacd9398a110783cdf86595eb08ff569b01dd6501</x:v>
      </x:c>
      <x:c r="M334" s="16" t="n">
        <x:v>0</x:v>
      </x:c>
      <x:c r="N334" s="1" t="str">
        <x:v>n.a.</x:v>
      </x:c>
      <x:c r="O334" s="1" t="str">
        <x:v>n.a.</x:v>
      </x:c>
      <x:c r="P334" s="1" t="n">
        <x:v>0</x:v>
      </x:c>
      <x:c r="Q334" s="5" t="str">
        <x:v>Codex original</x:v>
      </x:c>
    </x:row>
    <x:row r="335" ht="38" customHeight="1">
      <x:c r="A335" s="1" t="str">
        <x:v>Prop_Bricks_SalvageBin</x:v>
      </x:c>
      <x:c r="B335" s="1" t="str">
        <x:v>Prop</x:v>
      </x:c>
      <x:c r="C335" s="1" t="str">
        <x:v>Brick Realm</x:v>
      </x:c>
      <x:c r="D335" s="5" t="str">
        <x:v>Parts recovery station</x:v>
      </x:c>
      <x:c r="E335" s="7" t="n">
        <x:v>472</x:v>
      </x:c>
      <x:c r="F335" s="1" t="str">
        <x:v>static</x:v>
      </x:c>
      <x:c r="G335" s="5" t="str"/>
      <x:c r="H335" s="1" t="str">
        <x:v>Validated</x:v>
      </x:c>
      <x:c r="I335" s="1" t="str">
        <x:v>Pending</x:v>
      </x:c>
      <x:c r="J335" s="1" t="str">
        <x:v>Binding pending</x:v>
      </x:c>
      <x:c r="K335" s="1" t="str">
        <x:v>bricks-buildout/environment/Prop_Bricks_SalvageBin.glb</x:v>
      </x:c>
      <x:c r="L335" s="1" t="str">
        <x:v>8c51974edc8381da75111884ff1d8a5fcfa5c1562a56d3143bacba642d28abef</x:v>
      </x:c>
      <x:c r="M335" s="16" t="n">
        <x:v>0</x:v>
      </x:c>
      <x:c r="N335" s="1" t="str">
        <x:v>n.a.</x:v>
      </x:c>
      <x:c r="O335" s="1" t="str">
        <x:v>n.a.</x:v>
      </x:c>
      <x:c r="P335" s="1" t="n">
        <x:v>0</x:v>
      </x:c>
      <x:c r="Q335" s="5" t="str">
        <x:v>Codex original</x:v>
      </x:c>
    </x:row>
    <x:row r="336" ht="38" customHeight="1">
      <x:c r="A336" s="1" t="str">
        <x:v>Prop_Bricks_Noticeboard</x:v>
      </x:c>
      <x:c r="B336" s="1" t="str">
        <x:v>Prop</x:v>
      </x:c>
      <x:c r="C336" s="1" t="str">
        <x:v>Brick Realm</x:v>
      </x:c>
      <x:c r="D336" s="5" t="str">
        <x:v>Quest presentation</x:v>
      </x:c>
      <x:c r="E336" s="7" t="n">
        <x:v>220</x:v>
      </x:c>
      <x:c r="F336" s="1" t="str">
        <x:v>static</x:v>
      </x:c>
      <x:c r="G336" s="5" t="str"/>
      <x:c r="H336" s="1" t="str">
        <x:v>Validated</x:v>
      </x:c>
      <x:c r="I336" s="1" t="str">
        <x:v>Pending</x:v>
      </x:c>
      <x:c r="J336" s="1" t="str">
        <x:v>Binding pending</x:v>
      </x:c>
      <x:c r="K336" s="1" t="str">
        <x:v>bricks-buildout/environment/Prop_Bricks_Noticeboard.glb</x:v>
      </x:c>
      <x:c r="L336" s="1" t="str">
        <x:v>fcd740d267dd4e658e546719b90b80143545222b0cdb18725c12b6e2f7b509f3</x:v>
      </x:c>
      <x:c r="M336" s="16" t="n">
        <x:v>0</x:v>
      </x:c>
      <x:c r="N336" s="1" t="str">
        <x:v>n.a.</x:v>
      </x:c>
      <x:c r="O336" s="1" t="str">
        <x:v>n.a.</x:v>
      </x:c>
      <x:c r="P336" s="1" t="n">
        <x:v>0</x:v>
      </x:c>
      <x:c r="Q336" s="5" t="str">
        <x:v>Codex original</x:v>
      </x:c>
    </x:row>
    <x:row r="337" ht="38" customHeight="1">
      <x:c r="A337" s="1" t="str">
        <x:v>Prop_Bricks_TradeCounter</x:v>
      </x:c>
      <x:c r="B337" s="1" t="str">
        <x:v>Prop</x:v>
      </x:c>
      <x:c r="C337" s="1" t="str">
        <x:v>Brick Realm</x:v>
      </x:c>
      <x:c r="D337" s="5" t="str">
        <x:v>Realm trade station</x:v>
      </x:c>
      <x:c r="E337" s="7" t="n">
        <x:v>132</x:v>
      </x:c>
      <x:c r="F337" s="1" t="str">
        <x:v>static</x:v>
      </x:c>
      <x:c r="G337" s="5" t="str"/>
      <x:c r="H337" s="1" t="str">
        <x:v>Validated</x:v>
      </x:c>
      <x:c r="I337" s="1" t="str">
        <x:v>Pending</x:v>
      </x:c>
      <x:c r="J337" s="1" t="str">
        <x:v>Binding pending</x:v>
      </x:c>
      <x:c r="K337" s="1" t="str">
        <x:v>bricks-buildout/environment/Prop_Bricks_TradeCounter.glb</x:v>
      </x:c>
      <x:c r="L337" s="1" t="str">
        <x:v>9c1da27731fb3abe55c4aa8c6b3019acd42546e173192de1460a4fa8ba88ee2e</x:v>
      </x:c>
      <x:c r="M337" s="16" t="n">
        <x:v>0</x:v>
      </x:c>
      <x:c r="N337" s="1" t="str">
        <x:v>n.a.</x:v>
      </x:c>
      <x:c r="O337" s="1" t="str">
        <x:v>n.a.</x:v>
      </x:c>
      <x:c r="P337" s="1" t="n">
        <x:v>0</x:v>
      </x:c>
      <x:c r="Q337" s="5" t="str">
        <x:v>Codex original</x:v>
      </x:c>
    </x:row>
    <x:row r="338" ht="38" customHeight="1">
      <x:c r="A338" s="1" t="str">
        <x:v>Prop_Bricks_RunwayTile</x:v>
      </x:c>
      <x:c r="B338" s="1" t="str">
        <x:v>Prop</x:v>
      </x:c>
      <x:c r="C338" s="1" t="str">
        <x:v>Brick Realm</x:v>
      </x:c>
      <x:c r="D338" s="5" t="str">
        <x:v>Continuous airfield strip</x:v>
      </x:c>
      <x:c r="E338" s="7" t="n">
        <x:v>60</x:v>
      </x:c>
      <x:c r="F338" s="1" t="str">
        <x:v>static</x:v>
      </x:c>
      <x:c r="G338" s="5" t="str"/>
      <x:c r="H338" s="1" t="str">
        <x:v>Validated</x:v>
      </x:c>
      <x:c r="I338" s="1" t="str">
        <x:v>Pending</x:v>
      </x:c>
      <x:c r="J338" s="1" t="str">
        <x:v>Binding pending</x:v>
      </x:c>
      <x:c r="K338" s="1" t="str">
        <x:v>bricks-buildout/environment/Prop_Bricks_RunwayTile.glb</x:v>
      </x:c>
      <x:c r="L338" s="1" t="str">
        <x:v>96b22fa4ca23e55097cd5f3a691addb8fe94dd03d05c6b30e8b476f11302fca6</x:v>
      </x:c>
      <x:c r="M338" s="16" t="n">
        <x:v>0</x:v>
      </x:c>
      <x:c r="N338" s="1" t="str">
        <x:v>n.a.</x:v>
      </x:c>
      <x:c r="O338" s="1" t="str">
        <x:v>n.a.</x:v>
      </x:c>
      <x:c r="P338" s="1" t="n">
        <x:v>0</x:v>
      </x:c>
      <x:c r="Q338" s="5" t="str">
        <x:v>Codex original</x:v>
      </x:c>
    </x:row>
    <x:row r="339" ht="38" customHeight="1">
      <x:c r="A339" s="1" t="str">
        <x:v>Prop_Bricks_HangarFrame</x:v>
      </x:c>
      <x:c r="B339" s="1" t="str">
        <x:v>Prop</x:v>
      </x:c>
      <x:c r="C339" s="1" t="str">
        <x:v>Brick Realm</x:v>
      </x:c>
      <x:c r="D339" s="5" t="str">
        <x:v>Clear aircraft shelter entry</x:v>
      </x:c>
      <x:c r="E339" s="7" t="n">
        <x:v>132</x:v>
      </x:c>
      <x:c r="F339" s="1" t="str">
        <x:v>static</x:v>
      </x:c>
      <x:c r="G339" s="5" t="str"/>
      <x:c r="H339" s="1" t="str">
        <x:v>Validated</x:v>
      </x:c>
      <x:c r="I339" s="1" t="str">
        <x:v>Pending</x:v>
      </x:c>
      <x:c r="J339" s="1" t="str">
        <x:v>Binding pending</x:v>
      </x:c>
      <x:c r="K339" s="1" t="str">
        <x:v>bricks-buildout/environment/Prop_Bricks_HangarFrame.glb</x:v>
      </x:c>
      <x:c r="L339" s="1" t="str">
        <x:v>18ba51d9b7f9e2c8c99927cf196b91ef9409b246a1e323988e05eb4c75e6c7e1</x:v>
      </x:c>
      <x:c r="M339" s="16" t="n">
        <x:v>0</x:v>
      </x:c>
      <x:c r="N339" s="1" t="str">
        <x:v>n.a.</x:v>
      </x:c>
      <x:c r="O339" s="1" t="str">
        <x:v>n.a.</x:v>
      </x:c>
      <x:c r="P339" s="1" t="n">
        <x:v>0</x:v>
      </x:c>
      <x:c r="Q339" s="5" t="str">
        <x:v>Codex original</x:v>
      </x:c>
    </x:row>
    <x:row r="340" ht="38" customHeight="1">
      <x:c r="A340" s="1" t="str">
        <x:v>Prop_Bricks_RepairBay</x:v>
      </x:c>
      <x:c r="B340" s="1" t="str">
        <x:v>Prop</x:v>
      </x:c>
      <x:c r="C340" s="1" t="str">
        <x:v>Brick Realm</x:v>
      </x:c>
      <x:c r="D340" s="5" t="str">
        <x:v>Vehicle service platform</x:v>
      </x:c>
      <x:c r="E340" s="7" t="n">
        <x:v>100</x:v>
      </x:c>
      <x:c r="F340" s="1" t="str">
        <x:v>static</x:v>
      </x:c>
      <x:c r="G340" s="5" t="str"/>
      <x:c r="H340" s="1" t="str">
        <x:v>Validated</x:v>
      </x:c>
      <x:c r="I340" s="1" t="str">
        <x:v>Pending</x:v>
      </x:c>
      <x:c r="J340" s="1" t="str">
        <x:v>Binding pending</x:v>
      </x:c>
      <x:c r="K340" s="1" t="str">
        <x:v>bricks-buildout/environment/Prop_Bricks_RepairBay.glb</x:v>
      </x:c>
      <x:c r="L340" s="1" t="str">
        <x:v>f4b9d10a3248ce8630d35c07f6011b5906816c8e9d27be379b902638b93663a8</x:v>
      </x:c>
      <x:c r="M340" s="16" t="n">
        <x:v>0</x:v>
      </x:c>
      <x:c r="N340" s="1" t="str">
        <x:v>n.a.</x:v>
      </x:c>
      <x:c r="O340" s="1" t="str">
        <x:v>n.a.</x:v>
      </x:c>
      <x:c r="P340" s="1" t="n">
        <x:v>0</x:v>
      </x:c>
      <x:c r="Q340" s="5" t="str">
        <x:v>Codex original</x:v>
      </x:c>
    </x:row>
    <x:row r="341" ht="38" customHeight="1">
      <x:c r="A341" s="1" t="str">
        <x:v>Prop_Bricks_ConcertPlatform</x:v>
      </x:c>
      <x:c r="B341" s="1" t="str">
        <x:v>Prop</x:v>
      </x:c>
      <x:c r="C341" s="1" t="str">
        <x:v>Brick Realm</x:v>
      </x:c>
      <x:c r="D341" s="5" t="str">
        <x:v>Touring jukebox station</x:v>
      </x:c>
      <x:c r="E341" s="7" t="n">
        <x:v>144</x:v>
      </x:c>
      <x:c r="F341" s="1" t="str">
        <x:v>static</x:v>
      </x:c>
      <x:c r="G341" s="5" t="str"/>
      <x:c r="H341" s="1" t="str">
        <x:v>Validated</x:v>
      </x:c>
      <x:c r="I341" s="1" t="str">
        <x:v>Pending</x:v>
      </x:c>
      <x:c r="J341" s="1" t="str">
        <x:v>Binding pending</x:v>
      </x:c>
      <x:c r="K341" s="1" t="str">
        <x:v>bricks-buildout/environment/Prop_Bricks_ConcertPlatform.glb</x:v>
      </x:c>
      <x:c r="L341" s="1" t="str">
        <x:v>31102687d8885126c13bc0f366a94b869977526e75f8e5f609c35da90c8212f1</x:v>
      </x:c>
      <x:c r="M341" s="16" t="n">
        <x:v>0</x:v>
      </x:c>
      <x:c r="N341" s="1" t="str">
        <x:v>n.a.</x:v>
      </x:c>
      <x:c r="O341" s="1" t="str">
        <x:v>n.a.</x:v>
      </x:c>
      <x:c r="P341" s="1" t="n">
        <x:v>0</x:v>
      </x:c>
      <x:c r="Q341" s="5" t="str">
        <x:v>Codex original</x:v>
      </x:c>
    </x:row>
    <x:row r="342" ht="38" customHeight="1">
      <x:c r="A342" s="1" t="str">
        <x:v>Prop_Bricks_RainbowFrame</x:v>
      </x:c>
      <x:c r="B342" s="1" t="str">
        <x:v>Prop</x:v>
      </x:c>
      <x:c r="C342" s="1" t="str">
        <x:v>Brick Realm</x:v>
      </x:c>
      <x:c r="D342" s="5" t="str">
        <x:v>Rainbow departure presentation</x:v>
      </x:c>
      <x:c r="E342" s="7" t="n">
        <x:v>216</x:v>
      </x:c>
      <x:c r="F342" s="1" t="str">
        <x:v>static</x:v>
      </x:c>
      <x:c r="G342" s="5" t="str"/>
      <x:c r="H342" s="1" t="str">
        <x:v>Validated</x:v>
      </x:c>
      <x:c r="I342" s="1" t="str">
        <x:v>Pending</x:v>
      </x:c>
      <x:c r="J342" s="1" t="str">
        <x:v>Binding pending</x:v>
      </x:c>
      <x:c r="K342" s="1" t="str">
        <x:v>bricks-buildout/environment/Prop_Bricks_RainbowFrame.glb</x:v>
      </x:c>
      <x:c r="L342" s="1" t="str">
        <x:v>94cca53c4069b7b60f7ab84e12bb1624f9824e23c6fe167b287456251e9a7883</x:v>
      </x:c>
      <x:c r="M342" s="16" t="n">
        <x:v>0</x:v>
      </x:c>
      <x:c r="N342" s="1" t="str">
        <x:v>n.a.</x:v>
      </x:c>
      <x:c r="O342" s="1" t="str">
        <x:v>n.a.</x:v>
      </x:c>
      <x:c r="P342" s="1" t="n">
        <x:v>0</x:v>
      </x:c>
      <x:c r="Q342" s="5" t="str">
        <x:v>Codex original</x:v>
      </x:c>
    </x:row>
    <x:row r="343" ht="38" customHeight="1">
      <x:c r="A343" s="1" t="str">
        <x:v>Prop_Bricks_BoatDock</x:v>
      </x:c>
      <x:c r="B343" s="1" t="str">
        <x:v>Prop</x:v>
      </x:c>
      <x:c r="C343" s="1" t="str">
        <x:v>Brick Realm</x:v>
      </x:c>
      <x:c r="D343" s="5" t="str">
        <x:v>Ocean departure dock</x:v>
      </x:c>
      <x:c r="E343" s="7" t="n">
        <x:v>68</x:v>
      </x:c>
      <x:c r="F343" s="1" t="str">
        <x:v>static</x:v>
      </x:c>
      <x:c r="G343" s="5" t="str"/>
      <x:c r="H343" s="1" t="str">
        <x:v>Validated</x:v>
      </x:c>
      <x:c r="I343" s="1" t="str">
        <x:v>Pending</x:v>
      </x:c>
      <x:c r="J343" s="1" t="str">
        <x:v>Binding pending</x:v>
      </x:c>
      <x:c r="K343" s="1" t="str">
        <x:v>bricks-buildout/environment/Prop_Bricks_BoatDock.glb</x:v>
      </x:c>
      <x:c r="L343" s="1" t="str">
        <x:v>4137281a4839f22bb66497e77746ed5aee2d421a472bff3eae0defb39734ce3f</x:v>
      </x:c>
      <x:c r="M343" s="16" t="n">
        <x:v>0</x:v>
      </x:c>
      <x:c r="N343" s="1" t="str">
        <x:v>n.a.</x:v>
      </x:c>
      <x:c r="O343" s="1" t="str">
        <x:v>n.a.</x:v>
      </x:c>
      <x:c r="P343" s="1" t="n">
        <x:v>0</x:v>
      </x:c>
      <x:c r="Q343" s="5" t="str">
        <x:v>Codex original</x:v>
      </x:c>
    </x:row>
    <x:row r="344" ht="38" customHeight="1">
      <x:c r="A344" s="1" t="str">
        <x:v>Prop_Bricks_UnderwaterAirlock</x:v>
      </x:c>
      <x:c r="B344" s="1" t="str">
        <x:v>Prop</x:v>
      </x:c>
      <x:c r="C344" s="1" t="str">
        <x:v>Brick Realm</x:v>
      </x:c>
      <x:c r="D344" s="5" t="str">
        <x:v>Ocean arrival presentation</x:v>
      </x:c>
      <x:c r="E344" s="7" t="n">
        <x:v>324</x:v>
      </x:c>
      <x:c r="F344" s="1" t="str">
        <x:v>static</x:v>
      </x:c>
      <x:c r="G344" s="5" t="str"/>
      <x:c r="H344" s="1" t="str">
        <x:v>Validated</x:v>
      </x:c>
      <x:c r="I344" s="1" t="str">
        <x:v>Pending</x:v>
      </x:c>
      <x:c r="J344" s="1" t="str">
        <x:v>Binding pending</x:v>
      </x:c>
      <x:c r="K344" s="1" t="str">
        <x:v>bricks-buildout/environment/Prop_Bricks_UnderwaterAirlock.glb</x:v>
      </x:c>
      <x:c r="L344" s="1" t="str">
        <x:v>02adaf1fe703e98aeca152ac866c2df55a8c485a7cc14aa0510eb041bc9cb7a5</x:v>
      </x:c>
      <x:c r="M344" s="16" t="n">
        <x:v>0</x:v>
      </x:c>
      <x:c r="N344" s="1" t="str">
        <x:v>n.a.</x:v>
      </x:c>
      <x:c r="O344" s="1" t="str">
        <x:v>n.a.</x:v>
      </x:c>
      <x:c r="P344" s="1" t="n">
        <x:v>0</x:v>
      </x:c>
      <x:c r="Q344" s="5" t="str">
        <x:v>Codex original</x:v>
      </x:c>
    </x:row>
    <x:row r="345" ht="96" customHeight="1">
      <x:c r="A345" s="5" t="str">
        <x:v>Terrain_Ocean_Seed42013_Sector</x:v>
      </x:c>
      <x:c r="B345" s="5" t="str">
        <x:v>Terrain</x:v>
      </x:c>
      <x:c r="C345" s="5" t="str">
        <x:v>Ocean Realm</x:v>
      </x:c>
      <x:c r="D345" s="5" t="str">
        <x:v>Seeded sea sector and floating dock</x:v>
      </x:c>
      <x:c r="E345" s="5" t="n">
        <x:v>51150</x:v>
      </x:c>
      <x:c r="F345" s="5" t="str">
        <x:v>static</x:v>
      </x:c>
      <x:c r="G345" s="5" t="n">
        <x:v>0</x:v>
      </x:c>
      <x:c r="H345" s="34" t="str">
        <x:v>Generated</x:v>
      </x:c>
      <x:c r="I345" s="34" t="str">
        <x:v>Pending</x:v>
      </x:c>
      <x:c r="J345" s="5" t="str">
        <x:v>Server registration and realm loading pending</x:v>
      </x:c>
      <x:c r="K345" s="5" t="str">
        <x:v>C:/Users/730ri/Documents/Codex/2026-10-13/ocean-terrain-2/ocean.glb</x:v>
      </x:c>
      <x:c r="L345" s="5" t="str">
        <x:v>727b3b436bcd8929eb67c6d6687d54e00e9cf21937b2c5d14a31b4faa3cf7ee0</x:v>
      </x:c>
      <x:c r="M345" s="5" t="n">
        <x:v>0</x:v>
      </x:c>
      <x:c r="N345" s="5" t="str">
        <x:v>n.a.</x:v>
      </x:c>
      <x:c r="O345" s="5" t="str">
        <x:v>n.a.</x:v>
      </x:c>
      <x:c r="P345" s="5" t="n">
        <x:v>0</x:v>
      </x:c>
      <x:c r="Q345" s="5" t="str">
        <x:v>Codex procedural terrain; generator v1</x:v>
      </x:c>
    </x:row>
    <x:row r="346">
      <x:c r="A346" s="5" t="str">
        <x:v>Prop_Ocean_TideSkiff</x:v>
      </x:c>
      <x:c r="B346" s="5" t="str">
        <x:v>Prop</x:v>
      </x:c>
      <x:c r="C346" s="5" t="str">
        <x:v>Ocean Realm</x:v>
      </x:c>
      <x:c r="D346" s="5" t="str">
        <x:v>Dock boat; helm/boarding presentation</x:v>
      </x:c>
      <x:c r="E346" s="5" t="n">
        <x:v>1766</x:v>
      </x:c>
      <x:c r="F346" s="5" t="str">
        <x:v>static</x:v>
      </x:c>
      <x:c r="G346" s="5" t="n">
        <x:v>0</x:v>
      </x:c>
      <x:c r="H346" s="32" t="str">
        <x:v>Validated</x:v>
      </x:c>
      <x:c r="I346" s="32" t="str">
        <x:v>Private import</x:v>
      </x:c>
      <x:c r="J346" s="5" t="str">
        <x:v>Dock travel binding pending</x:v>
      </x:c>
      <x:c r="K346" s="5" t="str">
        <x:v>ocean-vessels/Prop_Ocean_TideSkiff.glb</x:v>
      </x:c>
      <x:c r="L346" s="5" t="str">
        <x:v>9f34d5b569225a847599283e0d65d62e348b171305a09167fb4554fd2a1b2b18</x:v>
      </x:c>
      <x:c r="M346" s="5" t="n">
        <x:v>0</x:v>
      </x:c>
      <x:c r="N346" s="5" t="str">
        <x:v>n.a.</x:v>
      </x:c>
      <x:c r="O346" s="5" t="str">
        <x:v>n.a.</x:v>
      </x:c>
      <x:c r="P346" s="5" t="n">
        <x:v>0</x:v>
      </x:c>
      <x:c r="Q346" s="5" t="str">
        <x:v>Original Codex Blender mesh; private Unreal inspection</x:v>
      </x:c>
    </x:row>
    <x:row r="347">
      <x:c r="A347" s="5" t="str">
        <x:v>Prop_Ocean_CoralSubmarine</x:v>
      </x:c>
      <x:c r="B347" s="5" t="str">
        <x:v>Prop</x:v>
      </x:c>
      <x:c r="C347" s="5" t="str">
        <x:v>Ocean Realm</x:v>
      </x:c>
      <x:c r="D347" s="5" t="str">
        <x:v>Submerged dock vessel; dive/helm presentation</x:v>
      </x:c>
      <x:c r="E347" s="5" t="n">
        <x:v>6676</x:v>
      </x:c>
      <x:c r="F347" s="5" t="str">
        <x:v>static</x:v>
      </x:c>
      <x:c r="G347" s="5" t="n">
        <x:v>0</x:v>
      </x:c>
      <x:c r="H347" s="32" t="str">
        <x:v>Validated</x:v>
      </x:c>
      <x:c r="I347" s="32" t="str">
        <x:v>Private import</x:v>
      </x:c>
      <x:c r="J347" s="5" t="str">
        <x:v>Dock travel binding pending</x:v>
      </x:c>
      <x:c r="K347" s="5" t="str">
        <x:v>ocean-vessels/Prop_Ocean_CoralSubmarine.glb</x:v>
      </x:c>
      <x:c r="L347" s="5" t="str">
        <x:v>f96f8b14a75d87bc92dd44b841790a7da36fb87f22c7827ebe8dd6da658fab82</x:v>
      </x:c>
      <x:c r="M347" s="5" t="n">
        <x:v>0</x:v>
      </x:c>
      <x:c r="N347" s="5" t="str">
        <x:v>n.a.</x:v>
      </x:c>
      <x:c r="O347" s="5" t="str">
        <x:v>n.a.</x:v>
      </x:c>
      <x:c r="P347" s="5" t="n">
        <x:v>0</x:v>
      </x:c>
      <x:c r="Q347" s="5" t="str">
        <x:v>Original Codex Blender mesh; private Unreal inspection</x:v>
      </x:c>
    </x:row>
    <x:row r="348">
      <x:c r="A348" s="5" t="str">
        <x:v>Prop_Ocean_HarbourDock</x:v>
      </x:c>
      <x:c r="B348" s="5" t="str">
        <x:v>Prop</x:v>
      </x:c>
      <x:c r="C348" s="5" t="str">
        <x:v>Ocean Realm</x:v>
      </x:c>
      <x:c r="D348" s="5" t="str">
        <x:v>Modular harbour dressing; existing pier collision presentation</x:v>
      </x:c>
      <x:c r="E348" s="5" t="n">
        <x:v>8352</x:v>
      </x:c>
      <x:c r="F348" s="5" t="str">
        <x:v>static</x:v>
      </x:c>
      <x:c r="G348" s="5" t="n">
        <x:v>0</x:v>
      </x:c>
      <x:c r="H348" s="32" t="str">
        <x:v>Validated</x:v>
      </x:c>
      <x:c r="I348" s="32" t="str">
        <x:v>Private import</x:v>
      </x:c>
      <x:c r="J348" s="5" t="str">
        <x:v>Dock travel binding pending</x:v>
      </x:c>
      <x:c r="K348" s="5" t="str">
        <x:v>ocean-vessels/Prop_Ocean_HarbourDock.glb</x:v>
      </x:c>
      <x:c r="L348" s="5" t="str">
        <x:v>bc25893595a78c78553b45f74e04496aacfc2e619d4b7d6f44ea919276af9a73</x:v>
      </x:c>
      <x:c r="M348" s="5" t="n">
        <x:v>0</x:v>
      </x:c>
      <x:c r="N348" s="5" t="str">
        <x:v>n.a.</x:v>
      </x:c>
      <x:c r="O348" s="5" t="str">
        <x:v>n.a.</x:v>
      </x:c>
      <x:c r="P348" s="5" t="n">
        <x:v>0</x:v>
      </x:c>
      <x:c r="Q348" s="5" t="str">
        <x:v>Original Codex Blender mesh; private Unreal inspection</x:v>
      </x:c>
    </x:row>
    <x:row r="349" ht="48" customHeight="1">
      <x:c r="A349" s="5" t="str">
        <x:v>Mob_Zero_GateFerrymanBram</x:v>
      </x:c>
      <x:c r="B349" s="5" t="str">
        <x:v>Character</x:v>
      </x:c>
      <x:c r="C349" s="5" t="str">
        <x:v>World Zero</x:v>
      </x:c>
      <x:c r="D349" s="5" t="str">
        <x:v>Gate Ferryman Bram</x:v>
      </x:c>
      <x:c r="E349" s="40" t="n">
        <x:v>1008</x:v>
      </x:c>
      <x:c r="F349" s="5" t="str">
        <x:v>WorldZeroHumanoidV1</x:v>
      </x:c>
      <x:c r="G349" s="5" t="str">
        <x:v>Idle, Walk, Attack, Hurt</x:v>
      </x:c>
      <x:c r="H349" s="5" t="str">
        <x:v>Validated</x:v>
      </x:c>
      <x:c r="I349" s="5" t="str">
        <x:v>Pending</x:v>
      </x:c>
      <x:c r="J349" s="5" t="str">
        <x:v>Binding pending</x:v>
      </x:c>
      <x:c r="K349" s="5" t="str">
        <x:v>cast/Mob_Zero_GateFerrymanBram.glb</x:v>
      </x:c>
      <x:c r="L349" s="5" t="str">
        <x:v>f3fb80ff170bd75fbef6448c401ae70c402c5f9fda2e7578a78686fdbaae845d</x:v>
      </x:c>
      <x:c r="M349" s="41" t="n">
        <x:v>1</x:v>
      </x:c>
      <x:c r="N349" s="5" t="str">
        <x:v>n.a.</x:v>
      </x:c>
      <x:c r="O349" s="5" t="str">
        <x:v>n.a.</x:v>
      </x:c>
      <x:c r="P349" s="5" t="n">
        <x:v>0</x:v>
      </x:c>
      <x:c r="Q349" s="5" t="str">
        <x:v>PR118 / actual GLB export-proof.json</x:v>
      </x:c>
    </x:row>
    <x:row r="350" ht="48" customHeight="1">
      <x:c r="A350" s="5" t="str">
        <x:v>Mob_Zero_RainbowPainter</x:v>
      </x:c>
      <x:c r="B350" s="5" t="str">
        <x:v>Character</x:v>
      </x:c>
      <x:c r="C350" s="5" t="str">
        <x:v>World Zero</x:v>
      </x:c>
      <x:c r="D350" s="5" t="str">
        <x:v>Rainbow Painter</x:v>
      </x:c>
      <x:c r="E350" s="40" t="n">
        <x:v>1692</x:v>
      </x:c>
      <x:c r="F350" s="5" t="str">
        <x:v>WorldZeroHumanoidV1</x:v>
      </x:c>
      <x:c r="G350" s="5" t="str">
        <x:v>Idle, Walk, Attack, Hurt</x:v>
      </x:c>
      <x:c r="H350" s="5" t="str">
        <x:v>Validated</x:v>
      </x:c>
      <x:c r="I350" s="5" t="str">
        <x:v>Pending</x:v>
      </x:c>
      <x:c r="J350" s="5" t="str">
        <x:v>Binding pending</x:v>
      </x:c>
      <x:c r="K350" s="5" t="str">
        <x:v>cast/Mob_Zero_RainbowPainter.glb</x:v>
      </x:c>
      <x:c r="L350" s="5" t="str">
        <x:v>b4c97b3bd1b39fae08482c8804e0f923602a71a3747af3ce99c597dbe9e1303d</x:v>
      </x:c>
      <x:c r="M350" s="41" t="n">
        <x:v>1</x:v>
      </x:c>
      <x:c r="N350" s="5" t="str">
        <x:v>n.a.</x:v>
      </x:c>
      <x:c r="O350" s="5" t="str">
        <x:v>n.a.</x:v>
      </x:c>
      <x:c r="P350" s="5" t="n">
        <x:v>0</x:v>
      </x:c>
      <x:c r="Q350" s="5" t="str">
        <x:v>PR118 / actual GLB export-proof.json</x:v>
      </x:c>
    </x:row>
    <x:row r="351" ht="48" customHeight="1">
      <x:c r="A351" s="5" t="str">
        <x:v>Mob_Zero_WanderingMerchantZee</x:v>
      </x:c>
      <x:c r="B351" s="5" t="str">
        <x:v>Character</x:v>
      </x:c>
      <x:c r="C351" s="5" t="str">
        <x:v>World Zero</x:v>
      </x:c>
      <x:c r="D351" s="5" t="str">
        <x:v>Wandering Merchant Zee</x:v>
      </x:c>
      <x:c r="E351" s="40" t="n">
        <x:v>1016</x:v>
      </x:c>
      <x:c r="F351" s="5" t="str">
        <x:v>WorldZeroHumanoidV1</x:v>
      </x:c>
      <x:c r="G351" s="5" t="str">
        <x:v>Idle, Walk, Attack, Hurt</x:v>
      </x:c>
      <x:c r="H351" s="5" t="str">
        <x:v>Validated</x:v>
      </x:c>
      <x:c r="I351" s="5" t="str">
        <x:v>Pending</x:v>
      </x:c>
      <x:c r="J351" s="5" t="str">
        <x:v>Binding pending</x:v>
      </x:c>
      <x:c r="K351" s="5" t="str">
        <x:v>cast/Mob_Zero_WanderingMerchantZee.glb</x:v>
      </x:c>
      <x:c r="L351" s="5" t="str">
        <x:v>fcff40e14f0c472e5ccfdd07096066a8b6c6bc713e16020550a0d867a3a9d349</x:v>
      </x:c>
      <x:c r="M351" s="41" t="n">
        <x:v>1</x:v>
      </x:c>
      <x:c r="N351" s="5" t="str">
        <x:v>n.a.</x:v>
      </x:c>
      <x:c r="O351" s="5" t="str">
        <x:v>n.a.</x:v>
      </x:c>
      <x:c r="P351" s="5" t="n">
        <x:v>0</x:v>
      </x:c>
      <x:c r="Q351" s="5" t="str">
        <x:v>PR118 / actual GLB export-proof.json</x:v>
      </x:c>
    </x:row>
    <x:row r="352" ht="48" customHeight="1">
      <x:c r="A352" s="5" t="str">
        <x:v>Mob_Zero_HeartstoneSeekerCaptain</x:v>
      </x:c>
      <x:c r="B352" s="5" t="str">
        <x:v>Character</x:v>
      </x:c>
      <x:c r="C352" s="5" t="str">
        <x:v>World Zero</x:v>
      </x:c>
      <x:c r="D352" s="5" t="str">
        <x:v>Heartstone Seeker Captain</x:v>
      </x:c>
      <x:c r="E352" s="40" t="n">
        <x:v>1220</x:v>
      </x:c>
      <x:c r="F352" s="5" t="str">
        <x:v>WorldZeroHumanoidV1</x:v>
      </x:c>
      <x:c r="G352" s="5" t="str">
        <x:v>Idle, Walk, Attack, Hurt</x:v>
      </x:c>
      <x:c r="H352" s="5" t="str">
        <x:v>Validated</x:v>
      </x:c>
      <x:c r="I352" s="5" t="str">
        <x:v>Pending</x:v>
      </x:c>
      <x:c r="J352" s="5" t="str">
        <x:v>Binding pending</x:v>
      </x:c>
      <x:c r="K352" s="5" t="str">
        <x:v>cast/Mob_Zero_HeartstoneSeekerCaptain.glb</x:v>
      </x:c>
      <x:c r="L352" s="5" t="str">
        <x:v>07cbe6808c84a38925b286ea529447433732e2c36982285ead9dc610ed06d7ed</x:v>
      </x:c>
      <x:c r="M352" s="41" t="n">
        <x:v>1</x:v>
      </x:c>
      <x:c r="N352" s="5" t="str">
        <x:v>n.a.</x:v>
      </x:c>
      <x:c r="O352" s="5" t="str">
        <x:v>n.a.</x:v>
      </x:c>
      <x:c r="P352" s="5" t="n">
        <x:v>0</x:v>
      </x:c>
      <x:c r="Q352" s="5" t="str">
        <x:v>PR118 / actual GLB export-proof.json</x:v>
      </x:c>
    </x:row>
    <x:row r="353" ht="48" customHeight="1">
      <x:c r="A353" s="5" t="str">
        <x:v>Mob_Zero_CourierOfWorlds</x:v>
      </x:c>
      <x:c r="B353" s="5" t="str">
        <x:v>Character</x:v>
      </x:c>
      <x:c r="C353" s="5" t="str">
        <x:v>World Zero</x:v>
      </x:c>
      <x:c r="D353" s="5" t="str">
        <x:v>Courier of Worlds</x:v>
      </x:c>
      <x:c r="E353" s="40" t="n">
        <x:v>1016</x:v>
      </x:c>
      <x:c r="F353" s="5" t="str">
        <x:v>WorldZeroHumanoidV1</x:v>
      </x:c>
      <x:c r="G353" s="5" t="str">
        <x:v>Idle, Walk, Attack, Hurt</x:v>
      </x:c>
      <x:c r="H353" s="5" t="str">
        <x:v>Validated</x:v>
      </x:c>
      <x:c r="I353" s="5" t="str">
        <x:v>Pending</x:v>
      </x:c>
      <x:c r="J353" s="5" t="str">
        <x:v>Binding pending</x:v>
      </x:c>
      <x:c r="K353" s="5" t="str">
        <x:v>cast/Mob_Zero_CourierOfWorlds.glb</x:v>
      </x:c>
      <x:c r="L353" s="5" t="str">
        <x:v>1275268a5c402375197c35fbc0b1bc3323ffa460df0efe422637555fabbc2858</x:v>
      </x:c>
      <x:c r="M353" s="41" t="n">
        <x:v>1</x:v>
      </x:c>
      <x:c r="N353" s="5" t="str">
        <x:v>n.a.</x:v>
      </x:c>
      <x:c r="O353" s="5" t="str">
        <x:v>n.a.</x:v>
      </x:c>
      <x:c r="P353" s="5" t="n">
        <x:v>0</x:v>
      </x:c>
      <x:c r="Q353" s="5" t="str">
        <x:v>PR118 / actual GLB export-proof.json</x:v>
      </x:c>
    </x:row>
    <x:row r="354" ht="48" customHeight="1">
      <x:c r="A354" s="5" t="str">
        <x:v>Mob_Zero_TugboatBalloonist</x:v>
      </x:c>
      <x:c r="B354" s="5" t="str">
        <x:v>Character</x:v>
      </x:c>
      <x:c r="C354" s="5" t="str">
        <x:v>World Zero</x:v>
      </x:c>
      <x:c r="D354" s="5" t="str">
        <x:v>Tugboat Balloonist</x:v>
      </x:c>
      <x:c r="E354" s="40" t="n">
        <x:v>1332</x:v>
      </x:c>
      <x:c r="F354" s="5" t="str">
        <x:v>WorldZeroHumanoidV1</x:v>
      </x:c>
      <x:c r="G354" s="5" t="str">
        <x:v>Idle, Walk, Attack, Hurt</x:v>
      </x:c>
      <x:c r="H354" s="5" t="str">
        <x:v>Validated</x:v>
      </x:c>
      <x:c r="I354" s="5" t="str">
        <x:v>Pending</x:v>
      </x:c>
      <x:c r="J354" s="5" t="str">
        <x:v>Binding pending</x:v>
      </x:c>
      <x:c r="K354" s="5" t="str">
        <x:v>cast/Mob_Zero_TugboatBalloonist.glb</x:v>
      </x:c>
      <x:c r="L354" s="5" t="str">
        <x:v>6387b4120e417b8819ab8d8b47198409c29b7559ee588019263351c2373a2a90</x:v>
      </x:c>
      <x:c r="M354" s="41" t="n">
        <x:v>1</x:v>
      </x:c>
      <x:c r="N354" s="5" t="str">
        <x:v>n.a.</x:v>
      </x:c>
      <x:c r="O354" s="5" t="str">
        <x:v>n.a.</x:v>
      </x:c>
      <x:c r="P354" s="5" t="n">
        <x:v>0</x:v>
      </x:c>
      <x:c r="Q354" s="5" t="str">
        <x:v>PR118 / actual GLB export-proof.json</x:v>
      </x:c>
    </x:row>
    <x:row r="355">
      <x:c r="A355" s="5" t="str">
        <x:v>Island_Frag_01</x:v>
      </x:c>
      <x:c r="B355" s="5" t="str">
        <x:v>Prop</x:v>
      </x:c>
      <x:c r="C355" s="5" t="str">
        <x:v>World Zero</x:v>
      </x:c>
      <x:c r="D355" s="5" t="str">
        <x:v>Flat-top asteroid island</x:v>
      </x:c>
      <x:c r="E355" s="40" t="n">
        <x:v>144</x:v>
      </x:c>
      <x:c r="F355" s="5" t="str">
        <x:v>n.a.</x:v>
      </x:c>
      <x:c r="G355" s="5" t="str">
        <x:v>n.a.</x:v>
      </x:c>
      <x:c r="H355" s="5" t="str">
        <x:v>Validated</x:v>
      </x:c>
      <x:c r="I355" s="5" t="str">
        <x:v>Pending</x:v>
      </x:c>
      <x:c r="J355" s="5" t="str">
        <x:v>Collision and walk pending</x:v>
      </x:c>
      <x:c r="K355" s="5" t="str">
        <x:v>island-mesh-pool/Island_Frag_01.glb</x:v>
      </x:c>
      <x:c r="L355" s="5" t="str">
        <x:v>6daa8c9b934970fff68d1029811b60d4c580a1bf2289faaa2c78fa508b59180c</x:v>
      </x:c>
      <x:c r="M355" s="41" t="n">
        <x:v>0</x:v>
      </x:c>
      <x:c r="N355" s="5" t="str">
        <x:v>n.a.</x:v>
      </x:c>
      <x:c r="O355" s="5" t="str">
        <x:v>n.a.</x:v>
      </x:c>
      <x:c r="P355" s="5" t="n">
        <x:v>0</x:v>
      </x:c>
      <x:c r="Q355" s="5" t="str">
        <x:v>PR140 / actual GLB and convex FBX companion</x:v>
      </x:c>
    </x:row>
    <x:row r="356">
      <x:c r="A356" s="5" t="str">
        <x:v>Island_Frag_02</x:v>
      </x:c>
      <x:c r="B356" s="5" t="str">
        <x:v>Prop</x:v>
      </x:c>
      <x:c r="C356" s="5" t="str">
        <x:v>World Zero</x:v>
      </x:c>
      <x:c r="D356" s="5" t="str">
        <x:v>Flat-top asteroid island</x:v>
      </x:c>
      <x:c r="E356" s="40" t="n">
        <x:v>144</x:v>
      </x:c>
      <x:c r="F356" s="5" t="str">
        <x:v>n.a.</x:v>
      </x:c>
      <x:c r="G356" s="5" t="str">
        <x:v>n.a.</x:v>
      </x:c>
      <x:c r="H356" s="5" t="str">
        <x:v>Validated</x:v>
      </x:c>
      <x:c r="I356" s="5" t="str">
        <x:v>Pending</x:v>
      </x:c>
      <x:c r="J356" s="5" t="str">
        <x:v>Collision and walk pending</x:v>
      </x:c>
      <x:c r="K356" s="5" t="str">
        <x:v>island-mesh-pool/Island_Frag_02.glb</x:v>
      </x:c>
      <x:c r="L356" s="5" t="str">
        <x:v>26ce97b3d311613593778ca898fcc843dcb1394195716db60b55c249deeb66c6</x:v>
      </x:c>
      <x:c r="M356" s="41" t="n">
        <x:v>0</x:v>
      </x:c>
      <x:c r="N356" s="5" t="str">
        <x:v>n.a.</x:v>
      </x:c>
      <x:c r="O356" s="5" t="str">
        <x:v>n.a.</x:v>
      </x:c>
      <x:c r="P356" s="5" t="n">
        <x:v>0</x:v>
      </x:c>
      <x:c r="Q356" s="5" t="str">
        <x:v>PR140 / actual GLB and convex FBX companion</x:v>
      </x:c>
    </x:row>
    <x:row r="357">
      <x:c r="A357" s="5" t="str">
        <x:v>Island_Frag_03</x:v>
      </x:c>
      <x:c r="B357" s="5" t="str">
        <x:v>Prop</x:v>
      </x:c>
      <x:c r="C357" s="5" t="str">
        <x:v>World Zero</x:v>
      </x:c>
      <x:c r="D357" s="5" t="str">
        <x:v>Flat-top asteroid island</x:v>
      </x:c>
      <x:c r="E357" s="40" t="n">
        <x:v>144</x:v>
      </x:c>
      <x:c r="F357" s="5" t="str">
        <x:v>n.a.</x:v>
      </x:c>
      <x:c r="G357" s="5" t="str">
        <x:v>n.a.</x:v>
      </x:c>
      <x:c r="H357" s="5" t="str">
        <x:v>Validated</x:v>
      </x:c>
      <x:c r="I357" s="5" t="str">
        <x:v>Pending</x:v>
      </x:c>
      <x:c r="J357" s="5" t="str">
        <x:v>Collision and walk pending</x:v>
      </x:c>
      <x:c r="K357" s="5" t="str">
        <x:v>island-mesh-pool/Island_Frag_03.glb</x:v>
      </x:c>
      <x:c r="L357" s="5" t="str">
        <x:v>3bae7d715bd0badc0794240324c6089db69a5a01b5a5d7fbc2cc5b11c8e4306c</x:v>
      </x:c>
      <x:c r="M357" s="41" t="n">
        <x:v>0</x:v>
      </x:c>
      <x:c r="N357" s="5" t="str">
        <x:v>n.a.</x:v>
      </x:c>
      <x:c r="O357" s="5" t="str">
        <x:v>n.a.</x:v>
      </x:c>
      <x:c r="P357" s="5" t="n">
        <x:v>0</x:v>
      </x:c>
      <x:c r="Q357" s="5" t="str">
        <x:v>PR140 / actual GLB and convex FBX companion</x:v>
      </x:c>
    </x:row>
    <x:row r="358">
      <x:c r="A358" s="5" t="str">
        <x:v>Island_Frag_04</x:v>
      </x:c>
      <x:c r="B358" s="5" t="str">
        <x:v>Prop</x:v>
      </x:c>
      <x:c r="C358" s="5" t="str">
        <x:v>World Zero</x:v>
      </x:c>
      <x:c r="D358" s="5" t="str">
        <x:v>Flat-top asteroid island</x:v>
      </x:c>
      <x:c r="E358" s="40" t="n">
        <x:v>144</x:v>
      </x:c>
      <x:c r="F358" s="5" t="str">
        <x:v>n.a.</x:v>
      </x:c>
      <x:c r="G358" s="5" t="str">
        <x:v>n.a.</x:v>
      </x:c>
      <x:c r="H358" s="5" t="str">
        <x:v>Validated</x:v>
      </x:c>
      <x:c r="I358" s="5" t="str">
        <x:v>Pending</x:v>
      </x:c>
      <x:c r="J358" s="5" t="str">
        <x:v>Collision and walk pending</x:v>
      </x:c>
      <x:c r="K358" s="5" t="str">
        <x:v>island-mesh-pool/Island_Frag_04.glb</x:v>
      </x:c>
      <x:c r="L358" s="5" t="str">
        <x:v>4a3617f4497f6d850f84dfc785cbb2b69bec1176a7b376d2ba710bb433d12ca3</x:v>
      </x:c>
      <x:c r="M358" s="41" t="n">
        <x:v>0</x:v>
      </x:c>
      <x:c r="N358" s="5" t="str">
        <x:v>n.a.</x:v>
      </x:c>
      <x:c r="O358" s="5" t="str">
        <x:v>n.a.</x:v>
      </x:c>
      <x:c r="P358" s="5" t="n">
        <x:v>0</x:v>
      </x:c>
      <x:c r="Q358" s="5" t="str">
        <x:v>PR140 / actual GLB and convex FBX companion</x:v>
      </x:c>
    </x:row>
    <x:row r="359">
      <x:c r="A359" s="5" t="str">
        <x:v>Island_Frag_05</x:v>
      </x:c>
      <x:c r="B359" s="5" t="str">
        <x:v>Prop</x:v>
      </x:c>
      <x:c r="C359" s="5" t="str">
        <x:v>World Zero</x:v>
      </x:c>
      <x:c r="D359" s="5" t="str">
        <x:v>Flat-top asteroid island</x:v>
      </x:c>
      <x:c r="E359" s="40" t="n">
        <x:v>144</x:v>
      </x:c>
      <x:c r="F359" s="5" t="str">
        <x:v>n.a.</x:v>
      </x:c>
      <x:c r="G359" s="5" t="str">
        <x:v>n.a.</x:v>
      </x:c>
      <x:c r="H359" s="5" t="str">
        <x:v>Validated</x:v>
      </x:c>
      <x:c r="I359" s="5" t="str">
        <x:v>Pending</x:v>
      </x:c>
      <x:c r="J359" s="5" t="str">
        <x:v>Collision and walk pending</x:v>
      </x:c>
      <x:c r="K359" s="5" t="str">
        <x:v>island-mesh-pool/Island_Frag_05.glb</x:v>
      </x:c>
      <x:c r="L359" s="5" t="str">
        <x:v>4662785952a9e9906dc1f32a61a242af300a2f06cce1d34c52aec879380eb6a1</x:v>
      </x:c>
      <x:c r="M359" s="41" t="n">
        <x:v>0</x:v>
      </x:c>
      <x:c r="N359" s="5" t="str">
        <x:v>n.a.</x:v>
      </x:c>
      <x:c r="O359" s="5" t="str">
        <x:v>n.a.</x:v>
      </x:c>
      <x:c r="P359" s="5" t="n">
        <x:v>0</x:v>
      </x:c>
      <x:c r="Q359" s="5" t="str">
        <x:v>PR140 / actual GLB and convex FBX companion</x:v>
      </x:c>
    </x:row>
    <x:row r="360">
      <x:c r="A360" s="5" t="str">
        <x:v>Island_Frag_06</x:v>
      </x:c>
      <x:c r="B360" s="5" t="str">
        <x:v>Prop</x:v>
      </x:c>
      <x:c r="C360" s="5" t="str">
        <x:v>World Zero</x:v>
      </x:c>
      <x:c r="D360" s="5" t="str">
        <x:v>Flat-top asteroid island</x:v>
      </x:c>
      <x:c r="E360" s="40" t="n">
        <x:v>144</x:v>
      </x:c>
      <x:c r="F360" s="5" t="str">
        <x:v>n.a.</x:v>
      </x:c>
      <x:c r="G360" s="5" t="str">
        <x:v>n.a.</x:v>
      </x:c>
      <x:c r="H360" s="5" t="str">
        <x:v>Validated</x:v>
      </x:c>
      <x:c r="I360" s="5" t="str">
        <x:v>Pending</x:v>
      </x:c>
      <x:c r="J360" s="5" t="str">
        <x:v>Collision and walk pending</x:v>
      </x:c>
      <x:c r="K360" s="5" t="str">
        <x:v>island-mesh-pool/Island_Frag_06.glb</x:v>
      </x:c>
      <x:c r="L360" s="5" t="str">
        <x:v>95303dbed18a9026109918fab6efc476f4e6c2037c1239d7c0d8f4752f0729bd</x:v>
      </x:c>
      <x:c r="M360" s="41" t="n">
        <x:v>0</x:v>
      </x:c>
      <x:c r="N360" s="5" t="str">
        <x:v>n.a.</x:v>
      </x:c>
      <x:c r="O360" s="5" t="str">
        <x:v>n.a.</x:v>
      </x:c>
      <x:c r="P360" s="5" t="n">
        <x:v>0</x:v>
      </x:c>
      <x:c r="Q360" s="5" t="str">
        <x:v>PR140 / actual GLB and convex FBX companion</x:v>
      </x:c>
    </x:row>
    <x:row r="361">
      <x:c r="A361" s="5" t="str">
        <x:v>Island_Frag_07</x:v>
      </x:c>
      <x:c r="B361" s="5" t="str">
        <x:v>Prop</x:v>
      </x:c>
      <x:c r="C361" s="5" t="str">
        <x:v>World Zero</x:v>
      </x:c>
      <x:c r="D361" s="5" t="str">
        <x:v>Flat-top asteroid island</x:v>
      </x:c>
      <x:c r="E361" s="40" t="n">
        <x:v>144</x:v>
      </x:c>
      <x:c r="F361" s="5" t="str">
        <x:v>n.a.</x:v>
      </x:c>
      <x:c r="G361" s="5" t="str">
        <x:v>n.a.</x:v>
      </x:c>
      <x:c r="H361" s="5" t="str">
        <x:v>Validated</x:v>
      </x:c>
      <x:c r="I361" s="5" t="str">
        <x:v>Pending</x:v>
      </x:c>
      <x:c r="J361" s="5" t="str">
        <x:v>Collision and walk pending</x:v>
      </x:c>
      <x:c r="K361" s="5" t="str">
        <x:v>island-mesh-pool/Island_Frag_07.glb</x:v>
      </x:c>
      <x:c r="L361" s="5" t="str">
        <x:v>fd300cc0dd5917a82231e95c8441f0b3006e70d5dc149cbbe6abf801436ca22c</x:v>
      </x:c>
      <x:c r="M361" s="41" t="n">
        <x:v>0</x:v>
      </x:c>
      <x:c r="N361" s="5" t="str">
        <x:v>n.a.</x:v>
      </x:c>
      <x:c r="O361" s="5" t="str">
        <x:v>n.a.</x:v>
      </x:c>
      <x:c r="P361" s="5" t="n">
        <x:v>0</x:v>
      </x:c>
      <x:c r="Q361" s="5" t="str">
        <x:v>PR140 / actual GLB and convex FBX companion</x:v>
      </x:c>
    </x:row>
    <x:row r="362">
      <x:c r="A362" s="5" t="str">
        <x:v>Island_Frag_08</x:v>
      </x:c>
      <x:c r="B362" s="5" t="str">
        <x:v>Prop</x:v>
      </x:c>
      <x:c r="C362" s="5" t="str">
        <x:v>World Zero</x:v>
      </x:c>
      <x:c r="D362" s="5" t="str">
        <x:v>Flat-top asteroid island</x:v>
      </x:c>
      <x:c r="E362" s="40" t="n">
        <x:v>144</x:v>
      </x:c>
      <x:c r="F362" s="5" t="str">
        <x:v>n.a.</x:v>
      </x:c>
      <x:c r="G362" s="5" t="str">
        <x:v>n.a.</x:v>
      </x:c>
      <x:c r="H362" s="5" t="str">
        <x:v>Validated</x:v>
      </x:c>
      <x:c r="I362" s="5" t="str">
        <x:v>Pending</x:v>
      </x:c>
      <x:c r="J362" s="5" t="str">
        <x:v>Collision and walk pending</x:v>
      </x:c>
      <x:c r="K362" s="5" t="str">
        <x:v>island-mesh-pool/Island_Frag_08.glb</x:v>
      </x:c>
      <x:c r="L362" s="5" t="str">
        <x:v>8ed62cfce8964649a523ee29b58d9d665ba55bfd4392d550e4fc57a88ce0e95f</x:v>
      </x:c>
      <x:c r="M362" s="41" t="n">
        <x:v>0</x:v>
      </x:c>
      <x:c r="N362" s="5" t="str">
        <x:v>n.a.</x:v>
      </x:c>
      <x:c r="O362" s="5" t="str">
        <x:v>n.a.</x:v>
      </x:c>
      <x:c r="P362" s="5" t="n">
        <x:v>0</x:v>
      </x:c>
      <x:c r="Q362" s="5" t="str">
        <x:v>PR140 / actual GLB and convex FBX companion</x:v>
      </x:c>
    </x:row>
    <x:row r="363">
      <x:c r="A363" s="5" t="str">
        <x:v>Island_Frag_09</x:v>
      </x:c>
      <x:c r="B363" s="5" t="str">
        <x:v>Prop</x:v>
      </x:c>
      <x:c r="C363" s="5" t="str">
        <x:v>World Zero</x:v>
      </x:c>
      <x:c r="D363" s="5" t="str">
        <x:v>Flat-top asteroid island</x:v>
      </x:c>
      <x:c r="E363" s="40" t="n">
        <x:v>144</x:v>
      </x:c>
      <x:c r="F363" s="5" t="str">
        <x:v>n.a.</x:v>
      </x:c>
      <x:c r="G363" s="5" t="str">
        <x:v>n.a.</x:v>
      </x:c>
      <x:c r="H363" s="5" t="str">
        <x:v>Validated</x:v>
      </x:c>
      <x:c r="I363" s="5" t="str">
        <x:v>Pending</x:v>
      </x:c>
      <x:c r="J363" s="5" t="str">
        <x:v>Collision and walk pending</x:v>
      </x:c>
      <x:c r="K363" s="5" t="str">
        <x:v>island-mesh-pool/Island_Frag_09.glb</x:v>
      </x:c>
      <x:c r="L363" s="5" t="str">
        <x:v>89e2d9f93b2ee9ce8e4264601ea15ca2e41703c6ef4bc26aba8d6a943748c503</x:v>
      </x:c>
      <x:c r="M363" s="41" t="n">
        <x:v>0</x:v>
      </x:c>
      <x:c r="N363" s="5" t="str">
        <x:v>n.a.</x:v>
      </x:c>
      <x:c r="O363" s="5" t="str">
        <x:v>n.a.</x:v>
      </x:c>
      <x:c r="P363" s="5" t="n">
        <x:v>0</x:v>
      </x:c>
      <x:c r="Q363" s="5" t="str">
        <x:v>PR140 / actual GLB and convex FBX companion</x:v>
      </x:c>
    </x:row>
    <x:row r="364">
      <x:c r="A364" s="5" t="str">
        <x:v>Island_Frag_10</x:v>
      </x:c>
      <x:c r="B364" s="5" t="str">
        <x:v>Prop</x:v>
      </x:c>
      <x:c r="C364" s="5" t="str">
        <x:v>World Zero</x:v>
      </x:c>
      <x:c r="D364" s="5" t="str">
        <x:v>Flat-top asteroid island</x:v>
      </x:c>
      <x:c r="E364" s="40" t="n">
        <x:v>144</x:v>
      </x:c>
      <x:c r="F364" s="5" t="str">
        <x:v>n.a.</x:v>
      </x:c>
      <x:c r="G364" s="5" t="str">
        <x:v>n.a.</x:v>
      </x:c>
      <x:c r="H364" s="5" t="str">
        <x:v>Validated</x:v>
      </x:c>
      <x:c r="I364" s="5" t="str">
        <x:v>Pending</x:v>
      </x:c>
      <x:c r="J364" s="5" t="str">
        <x:v>Collision and walk pending</x:v>
      </x:c>
      <x:c r="K364" s="5" t="str">
        <x:v>island-mesh-pool/Island_Frag_10.glb</x:v>
      </x:c>
      <x:c r="L364" s="5" t="str">
        <x:v>0257ae6e4c56d0e9fd05e95491400a33403c8e060ac10074a1a2b5fa30c27b2c</x:v>
      </x:c>
      <x:c r="M364" s="41" t="n">
        <x:v>0</x:v>
      </x:c>
      <x:c r="N364" s="5" t="str">
        <x:v>n.a.</x:v>
      </x:c>
      <x:c r="O364" s="5" t="str">
        <x:v>n.a.</x:v>
      </x:c>
      <x:c r="P364" s="5" t="n">
        <x:v>0</x:v>
      </x:c>
      <x:c r="Q364" s="5" t="str">
        <x:v>PR140 / actual GLB and convex FBX companion</x:v>
      </x:c>
    </x:row>
    <x:row r="365">
      <x:c r="A365" s="5" t="str">
        <x:v>Island_Frag_11</x:v>
      </x:c>
      <x:c r="B365" s="5" t="str">
        <x:v>Prop</x:v>
      </x:c>
      <x:c r="C365" s="5" t="str">
        <x:v>World Zero</x:v>
      </x:c>
      <x:c r="D365" s="5" t="str">
        <x:v>Flat-top asteroid island</x:v>
      </x:c>
      <x:c r="E365" s="40" t="n">
        <x:v>144</x:v>
      </x:c>
      <x:c r="F365" s="5" t="str">
        <x:v>n.a.</x:v>
      </x:c>
      <x:c r="G365" s="5" t="str">
        <x:v>n.a.</x:v>
      </x:c>
      <x:c r="H365" s="5" t="str">
        <x:v>Validated</x:v>
      </x:c>
      <x:c r="I365" s="5" t="str">
        <x:v>Pending</x:v>
      </x:c>
      <x:c r="J365" s="5" t="str">
        <x:v>Collision and walk pending</x:v>
      </x:c>
      <x:c r="K365" s="5" t="str">
        <x:v>island-mesh-pool/Island_Frag_11.glb</x:v>
      </x:c>
      <x:c r="L365" s="5" t="str">
        <x:v>0b9abc6c551b257eaecec9e63913d621f3aecaaa699ed3275b2f147e99bc85f8</x:v>
      </x:c>
      <x:c r="M365" s="41" t="n">
        <x:v>0</x:v>
      </x:c>
      <x:c r="N365" s="5" t="str">
        <x:v>n.a.</x:v>
      </x:c>
      <x:c r="O365" s="5" t="str">
        <x:v>n.a.</x:v>
      </x:c>
      <x:c r="P365" s="5" t="n">
        <x:v>0</x:v>
      </x:c>
      <x:c r="Q365" s="5" t="str">
        <x:v>PR140 / actual GLB and convex FBX companion</x:v>
      </x:c>
    </x:row>
    <x:row r="366">
      <x:c r="A366" s="5" t="str">
        <x:v>Island_Frag_12</x:v>
      </x:c>
      <x:c r="B366" s="5" t="str">
        <x:v>Prop</x:v>
      </x:c>
      <x:c r="C366" s="5" t="str">
        <x:v>World Zero</x:v>
      </x:c>
      <x:c r="D366" s="5" t="str">
        <x:v>Flat-top asteroid island</x:v>
      </x:c>
      <x:c r="E366" s="40" t="n">
        <x:v>144</x:v>
      </x:c>
      <x:c r="F366" s="5" t="str">
        <x:v>n.a.</x:v>
      </x:c>
      <x:c r="G366" s="5" t="str">
        <x:v>n.a.</x:v>
      </x:c>
      <x:c r="H366" s="5" t="str">
        <x:v>Validated</x:v>
      </x:c>
      <x:c r="I366" s="5" t="str">
        <x:v>Pending</x:v>
      </x:c>
      <x:c r="J366" s="5" t="str">
        <x:v>Collision and walk pending</x:v>
      </x:c>
      <x:c r="K366" s="5" t="str">
        <x:v>island-mesh-pool/Island_Frag_12.glb</x:v>
      </x:c>
      <x:c r="L366" s="5" t="str">
        <x:v>8e1944d7f5eae9ecfe520e47abbcdd1cf53c19d64a042723d7010e72ad926adf</x:v>
      </x:c>
      <x:c r="M366" s="41" t="n">
        <x:v>0</x:v>
      </x:c>
      <x:c r="N366" s="5" t="str">
        <x:v>n.a.</x:v>
      </x:c>
      <x:c r="O366" s="5" t="str">
        <x:v>n.a.</x:v>
      </x:c>
      <x:c r="P366" s="5" t="n">
        <x:v>0</x:v>
      </x:c>
      <x:c r="Q366" s="5" t="str">
        <x:v>PR140 / actual GLB and convex FBX companion</x:v>
      </x:c>
    </x:row>
    <x:row r="367">
      <x:c r="A367" s="5" t="str">
        <x:v>Island_Pad_01</x:v>
      </x:c>
      <x:c r="B367" s="5" t="str">
        <x:v>Prop</x:v>
      </x:c>
      <x:c r="C367" s="5" t="str">
        <x:v>Shared</x:v>
      </x:c>
      <x:c r="D367" s="5" t="str">
        <x:v>Flat realm terrace</x:v>
      </x:c>
      <x:c r="E367" s="40" t="n">
        <x:v>144</x:v>
      </x:c>
      <x:c r="F367" s="5" t="str">
        <x:v>n.a.</x:v>
      </x:c>
      <x:c r="G367" s="5" t="str">
        <x:v>n.a.</x:v>
      </x:c>
      <x:c r="H367" s="5" t="str">
        <x:v>Validated</x:v>
      </x:c>
      <x:c r="I367" s="5" t="str">
        <x:v>Pending</x:v>
      </x:c>
      <x:c r="J367" s="5" t="str">
        <x:v>Collision and walk pending</x:v>
      </x:c>
      <x:c r="K367" s="5" t="str">
        <x:v>island-mesh-pool/Island_Pad_01.glb</x:v>
      </x:c>
      <x:c r="L367" s="5" t="str">
        <x:v>9f2537b1f980c8fa8abcdcbac4c2a8e46db0d2344dedf59daf7fbb6d2c149dc6</x:v>
      </x:c>
      <x:c r="M367" s="41" t="n">
        <x:v>0</x:v>
      </x:c>
      <x:c r="N367" s="5" t="str">
        <x:v>n.a.</x:v>
      </x:c>
      <x:c r="O367" s="5" t="str">
        <x:v>n.a.</x:v>
      </x:c>
      <x:c r="P367" s="5" t="n">
        <x:v>0</x:v>
      </x:c>
      <x:c r="Q367" s="5" t="str">
        <x:v>PR140 / actual GLB and convex FBX companion</x:v>
      </x:c>
    </x:row>
    <x:row r="368">
      <x:c r="A368" s="5" t="str">
        <x:v>Island_Pad_02</x:v>
      </x:c>
      <x:c r="B368" s="5" t="str">
        <x:v>Prop</x:v>
      </x:c>
      <x:c r="C368" s="5" t="str">
        <x:v>Shared</x:v>
      </x:c>
      <x:c r="D368" s="5" t="str">
        <x:v>Flat realm terrace</x:v>
      </x:c>
      <x:c r="E368" s="40" t="n">
        <x:v>144</x:v>
      </x:c>
      <x:c r="F368" s="5" t="str">
        <x:v>n.a.</x:v>
      </x:c>
      <x:c r="G368" s="5" t="str">
        <x:v>n.a.</x:v>
      </x:c>
      <x:c r="H368" s="5" t="str">
        <x:v>Validated</x:v>
      </x:c>
      <x:c r="I368" s="5" t="str">
        <x:v>Pending</x:v>
      </x:c>
      <x:c r="J368" s="5" t="str">
        <x:v>Collision and walk pending</x:v>
      </x:c>
      <x:c r="K368" s="5" t="str">
        <x:v>island-mesh-pool/Island_Pad_02.glb</x:v>
      </x:c>
      <x:c r="L368" s="5" t="str">
        <x:v>71444b22d3190178cb474cd86ad6901078677c0cfdfe5bb75e05d68905de9ce9</x:v>
      </x:c>
      <x:c r="M368" s="41" t="n">
        <x:v>0</x:v>
      </x:c>
      <x:c r="N368" s="5" t="str">
        <x:v>n.a.</x:v>
      </x:c>
      <x:c r="O368" s="5" t="str">
        <x:v>n.a.</x:v>
      </x:c>
      <x:c r="P368" s="5" t="n">
        <x:v>0</x:v>
      </x:c>
      <x:c r="Q368" s="5" t="str">
        <x:v>PR140 / actual GLB and convex FBX companion</x:v>
      </x:c>
    </x:row>
    <x:row r="369">
      <x:c r="A369" s="5" t="str">
        <x:v>Island_Pad_03</x:v>
      </x:c>
      <x:c r="B369" s="5" t="str">
        <x:v>Prop</x:v>
      </x:c>
      <x:c r="C369" s="5" t="str">
        <x:v>Shared</x:v>
      </x:c>
      <x:c r="D369" s="5" t="str">
        <x:v>Flat realm terrace</x:v>
      </x:c>
      <x:c r="E369" s="40" t="n">
        <x:v>144</x:v>
      </x:c>
      <x:c r="F369" s="5" t="str">
        <x:v>n.a.</x:v>
      </x:c>
      <x:c r="G369" s="5" t="str">
        <x:v>n.a.</x:v>
      </x:c>
      <x:c r="H369" s="5" t="str">
        <x:v>Validated</x:v>
      </x:c>
      <x:c r="I369" s="5" t="str">
        <x:v>Pending</x:v>
      </x:c>
      <x:c r="J369" s="5" t="str">
        <x:v>Collision and walk pending</x:v>
      </x:c>
      <x:c r="K369" s="5" t="str">
        <x:v>island-mesh-pool/Island_Pad_03.glb</x:v>
      </x:c>
      <x:c r="L369" s="5" t="str">
        <x:v>8057fe826ba649df0891f7cd6c6f4cd4116c11e4214400e0920bb699575fb098</x:v>
      </x:c>
      <x:c r="M369" s="41" t="n">
        <x:v>0</x:v>
      </x:c>
      <x:c r="N369" s="5" t="str">
        <x:v>n.a.</x:v>
      </x:c>
      <x:c r="O369" s="5" t="str">
        <x:v>n.a.</x:v>
      </x:c>
      <x:c r="P369" s="5" t="n">
        <x:v>0</x:v>
      </x:c>
      <x:c r="Q369" s="5" t="str">
        <x:v>PR140 / actual GLB and convex FBX companion</x:v>
      </x:c>
    </x:row>
    <x:row r="370">
      <x:c r="A370" s="5" t="str">
        <x:v>Island_Pad_04</x:v>
      </x:c>
      <x:c r="B370" s="5" t="str">
        <x:v>Prop</x:v>
      </x:c>
      <x:c r="C370" s="5" t="str">
        <x:v>Shared</x:v>
      </x:c>
      <x:c r="D370" s="5" t="str">
        <x:v>Flat realm terrace</x:v>
      </x:c>
      <x:c r="E370" s="40" t="n">
        <x:v>144</x:v>
      </x:c>
      <x:c r="F370" s="5" t="str">
        <x:v>n.a.</x:v>
      </x:c>
      <x:c r="G370" s="5" t="str">
        <x:v>n.a.</x:v>
      </x:c>
      <x:c r="H370" s="5" t="str">
        <x:v>Validated</x:v>
      </x:c>
      <x:c r="I370" s="5" t="str">
        <x:v>Pending</x:v>
      </x:c>
      <x:c r="J370" s="5" t="str">
        <x:v>Collision and walk pending</x:v>
      </x:c>
      <x:c r="K370" s="5" t="str">
        <x:v>island-mesh-pool/Island_Pad_04.glb</x:v>
      </x:c>
      <x:c r="L370" s="5" t="str">
        <x:v>e0f2bd396302be303ad902ffc38d36899a33075091a7b66f062e982e3191b6b2</x:v>
      </x:c>
      <x:c r="M370" s="41" t="n">
        <x:v>0</x:v>
      </x:c>
      <x:c r="N370" s="5" t="str">
        <x:v>n.a.</x:v>
      </x:c>
      <x:c r="O370" s="5" t="str">
        <x:v>n.a.</x:v>
      </x:c>
      <x:c r="P370" s="5" t="n">
        <x:v>0</x:v>
      </x:c>
      <x:c r="Q370" s="5" t="str">
        <x:v>PR140 / actual GLB and convex FBX companion</x:v>
      </x:c>
    </x:row>
    <x:row r="371">
      <x:c r="A371" s="5" t="str">
        <x:v>Island_Pad_05</x:v>
      </x:c>
      <x:c r="B371" s="5" t="str">
        <x:v>Prop</x:v>
      </x:c>
      <x:c r="C371" s="5" t="str">
        <x:v>Shared</x:v>
      </x:c>
      <x:c r="D371" s="5" t="str">
        <x:v>Flat realm terrace</x:v>
      </x:c>
      <x:c r="E371" s="40" t="n">
        <x:v>144</x:v>
      </x:c>
      <x:c r="F371" s="5" t="str">
        <x:v>n.a.</x:v>
      </x:c>
      <x:c r="G371" s="5" t="str">
        <x:v>n.a.</x:v>
      </x:c>
      <x:c r="H371" s="5" t="str">
        <x:v>Validated</x:v>
      </x:c>
      <x:c r="I371" s="5" t="str">
        <x:v>Pending</x:v>
      </x:c>
      <x:c r="J371" s="5" t="str">
        <x:v>Collision and walk pending</x:v>
      </x:c>
      <x:c r="K371" s="5" t="str">
        <x:v>island-mesh-pool/Island_Pad_05.glb</x:v>
      </x:c>
      <x:c r="L371" s="5" t="str">
        <x:v>12fabe45ff0b86aa5dcc5a855e58c42fc4f0c3df034b8e06c7e4a11cd2800811</x:v>
      </x:c>
      <x:c r="M371" s="41" t="n">
        <x:v>0</x:v>
      </x:c>
      <x:c r="N371" s="5" t="str">
        <x:v>n.a.</x:v>
      </x:c>
      <x:c r="O371" s="5" t="str">
        <x:v>n.a.</x:v>
      </x:c>
      <x:c r="P371" s="5" t="n">
        <x:v>0</x:v>
      </x:c>
      <x:c r="Q371" s="5" t="str">
        <x:v>PR140 / actual GLB and convex FBX companion</x:v>
      </x:c>
    </x:row>
    <x:row r="372">
      <x:c r="A372" s="5" t="str">
        <x:v>Island_Pad_06</x:v>
      </x:c>
      <x:c r="B372" s="5" t="str">
        <x:v>Prop</x:v>
      </x:c>
      <x:c r="C372" s="5" t="str">
        <x:v>Shared</x:v>
      </x:c>
      <x:c r="D372" s="5" t="str">
        <x:v>Flat realm terrace</x:v>
      </x:c>
      <x:c r="E372" s="40" t="n">
        <x:v>144</x:v>
      </x:c>
      <x:c r="F372" s="5" t="str">
        <x:v>n.a.</x:v>
      </x:c>
      <x:c r="G372" s="5" t="str">
        <x:v>n.a.</x:v>
      </x:c>
      <x:c r="H372" s="5" t="str">
        <x:v>Validated</x:v>
      </x:c>
      <x:c r="I372" s="5" t="str">
        <x:v>Pending</x:v>
      </x:c>
      <x:c r="J372" s="5" t="str">
        <x:v>Collision and walk pending</x:v>
      </x:c>
      <x:c r="K372" s="5" t="str">
        <x:v>island-mesh-pool/Island_Pad_06.glb</x:v>
      </x:c>
      <x:c r="L372" s="5" t="str">
        <x:v>3bd32ecf237635d5205d9a1bb18ec4b3f758d02922b7801da8d7abf614477427</x:v>
      </x:c>
      <x:c r="M372" s="41" t="n">
        <x:v>0</x:v>
      </x:c>
      <x:c r="N372" s="5" t="str">
        <x:v>n.a.</x:v>
      </x:c>
      <x:c r="O372" s="5" t="str">
        <x:v>n.a.</x:v>
      </x:c>
      <x:c r="P372" s="5" t="n">
        <x:v>0</x:v>
      </x:c>
      <x:c r="Q372" s="5" t="str">
        <x:v>PR140 / actual GLB and convex FBX companion</x:v>
      </x:c>
    </x:row>
    <x:row r="373">
      <x:c r="A373" s="5" t="str">
        <x:v>Twaker_Prospector</x:v>
      </x:c>
      <x:c r="B373" s="5" t="str">
        <x:v>Character</x:v>
      </x:c>
      <x:c r="C373" s="5" t="str">
        <x:v>World Zero</x:v>
      </x:c>
      <x:c r="D373" s="5" t="str">
        <x:v>prospector</x:v>
      </x:c>
      <x:c r="E373" s="40" t="n">
        <x:v>1098</x:v>
      </x:c>
      <x:c r="F373" s="5" t="str">
        <x:v>shared-humanoid-14</x:v>
      </x:c>
      <x:c r="G373" s="5" t="str">
        <x:v>Idle, Walk, Attack, Hurt</x:v>
      </x:c>
      <x:c r="H373" s="5" t="str">
        <x:v>Validated</x:v>
      </x:c>
      <x:c r="I373" s="5" t="str">
        <x:v>Pending</x:v>
      </x:c>
      <x:c r="J373" s="5" t="str">
        <x:v>Host binding pending</x:v>
      </x:c>
      <x:c r="K373" s="5" t="str">
        <x:v>shardstead-workers/Twaker_Prospector.glb</x:v>
      </x:c>
      <x:c r="L373" s="5" t="str">
        <x:v>4ec4ea032cb4389b36ab5d5433cde358798be86f5c5bc9f875df7f21118e3f62</x:v>
      </x:c>
      <x:c r="M373" s="41" t="n">
        <x:v>1</x:v>
      </x:c>
      <x:c r="N373" s="5" t="str">
        <x:v>n.a.</x:v>
      </x:c>
      <x:c r="O373" s="5" t="str">
        <x:v>n.a.</x:v>
      </x:c>
      <x:c r="P373" s="5" t="n">
        <x:v>0</x:v>
      </x:c>
      <x:c r="Q373" s="5" t="str">
        <x:v>PR139 / actual rigged GLB</x:v>
      </x:c>
    </x:row>
    <x:row r="374">
      <x:c r="A374" s="5" t="str">
        <x:v>Twaker_Cachekeeper</x:v>
      </x:c>
      <x:c r="B374" s="5" t="str">
        <x:v>Character</x:v>
      </x:c>
      <x:c r="C374" s="5" t="str">
        <x:v>World Zero</x:v>
      </x:c>
      <x:c r="D374" s="5" t="str">
        <x:v>crystal cache keeper</x:v>
      </x:c>
      <x:c r="E374" s="40" t="n">
        <x:v>1098</x:v>
      </x:c>
      <x:c r="F374" s="5" t="str">
        <x:v>shared-humanoid-14</x:v>
      </x:c>
      <x:c r="G374" s="5" t="str">
        <x:v>Idle, Walk, Attack, Hurt</x:v>
      </x:c>
      <x:c r="H374" s="5" t="str">
        <x:v>Validated</x:v>
      </x:c>
      <x:c r="I374" s="5" t="str">
        <x:v>Pending</x:v>
      </x:c>
      <x:c r="J374" s="5" t="str">
        <x:v>Host binding pending</x:v>
      </x:c>
      <x:c r="K374" s="5" t="str">
        <x:v>shardstead-workers/Twaker_Cachekeeper.glb</x:v>
      </x:c>
      <x:c r="L374" s="5" t="str">
        <x:v>612e9b9dd3b9a96547aca5860bf81acb9a1259e184a3b58e31ee9ab2267fa9ab</x:v>
      </x:c>
      <x:c r="M374" s="41" t="n">
        <x:v>1</x:v>
      </x:c>
      <x:c r="N374" s="5" t="str">
        <x:v>n.a.</x:v>
      </x:c>
      <x:c r="O374" s="5" t="str">
        <x:v>n.a.</x:v>
      </x:c>
      <x:c r="P374" s="5" t="n">
        <x:v>0</x:v>
      </x:c>
      <x:c r="Q374" s="5" t="str">
        <x:v>PR139 / actual rigged GLB</x:v>
      </x:c>
    </x:row>
    <x:row r="375">
      <x:c r="A375" s="5" t="str">
        <x:v>Twaker_Trader</x:v>
      </x:c>
      <x:c r="B375" s="5" t="str">
        <x:v>Character</x:v>
      </x:c>
      <x:c r="C375" s="5" t="str">
        <x:v>World Zero</x:v>
      </x:c>
      <x:c r="D375" s="5" t="str">
        <x:v>barter merchant</x:v>
      </x:c>
      <x:c r="E375" s="40" t="n">
        <x:v>1244</x:v>
      </x:c>
      <x:c r="F375" s="5" t="str">
        <x:v>shared-humanoid-14</x:v>
      </x:c>
      <x:c r="G375" s="5" t="str">
        <x:v>Idle, Walk, Attack, Hurt</x:v>
      </x:c>
      <x:c r="H375" s="5" t="str">
        <x:v>Validated</x:v>
      </x:c>
      <x:c r="I375" s="5" t="str">
        <x:v>Pending</x:v>
      </x:c>
      <x:c r="J375" s="5" t="str">
        <x:v>Host binding pending</x:v>
      </x:c>
      <x:c r="K375" s="5" t="str">
        <x:v>shardstead-workers/Twaker_Trader.glb</x:v>
      </x:c>
      <x:c r="L375" s="5" t="str">
        <x:v>31e4722efaeab913ceafb7266e4eda53cd1a20e3618644fd26d494434904e4d0</x:v>
      </x:c>
      <x:c r="M375" s="41" t="n">
        <x:v>1</x:v>
      </x:c>
      <x:c r="N375" s="5" t="str">
        <x:v>n.a.</x:v>
      </x:c>
      <x:c r="O375" s="5" t="str">
        <x:v>n.a.</x:v>
      </x:c>
      <x:c r="P375" s="5" t="n">
        <x:v>0</x:v>
      </x:c>
      <x:c r="Q375" s="5" t="str">
        <x:v>PR139 / actual rigged GLB</x:v>
      </x:c>
    </x:row>
    <x:row r="376">
      <x:c r="A376" s="5" t="str">
        <x:v>Shardstead_Farmer</x:v>
      </x:c>
      <x:c r="B376" s="5" t="str">
        <x:v>Character</x:v>
      </x:c>
      <x:c r="C376" s="5" t="str">
        <x:v>World Zero</x:v>
      </x:c>
      <x:c r="D376" s="5" t="str">
        <x:v>food producer</x:v>
      </x:c>
      <x:c r="E376" s="40" t="n">
        <x:v>1088</x:v>
      </x:c>
      <x:c r="F376" s="5" t="str">
        <x:v>shared-humanoid-14</x:v>
      </x:c>
      <x:c r="G376" s="5" t="str">
        <x:v>Idle, Walk, Attack, Hurt</x:v>
      </x:c>
      <x:c r="H376" s="5" t="str">
        <x:v>Validated</x:v>
      </x:c>
      <x:c r="I376" s="5" t="str">
        <x:v>Pending</x:v>
      </x:c>
      <x:c r="J376" s="5" t="str">
        <x:v>Host binding pending</x:v>
      </x:c>
      <x:c r="K376" s="5" t="str">
        <x:v>shardstead-workers/Shardstead_Farmer.glb</x:v>
      </x:c>
      <x:c r="L376" s="5" t="str">
        <x:v>38665903d171537222dc489ef3929ffb97cc5e90f18b1df28a3d42784f2795cd</x:v>
      </x:c>
      <x:c r="M376" s="41" t="n">
        <x:v>1</x:v>
      </x:c>
      <x:c r="N376" s="5" t="str">
        <x:v>n.a.</x:v>
      </x:c>
      <x:c r="O376" s="5" t="str">
        <x:v>n.a.</x:v>
      </x:c>
      <x:c r="P376" s="5" t="n">
        <x:v>0</x:v>
      </x:c>
      <x:c r="Q376" s="5" t="str">
        <x:v>PR139 / actual rigged GLB</x:v>
      </x:c>
    </x:row>
    <x:row r="377">
      <x:c r="A377" s="5" t="str">
        <x:v>Shardstead_Energywright</x:v>
      </x:c>
      <x:c r="B377" s="5" t="str">
        <x:v>Character</x:v>
      </x:c>
      <x:c r="C377" s="5" t="str">
        <x:v>World Zero</x:v>
      </x:c>
      <x:c r="D377" s="5" t="str">
        <x:v>energy producer</x:v>
      </x:c>
      <x:c r="E377" s="40" t="n">
        <x:v>1200</x:v>
      </x:c>
      <x:c r="F377" s="5" t="str">
        <x:v>shared-humanoid-14</x:v>
      </x:c>
      <x:c r="G377" s="5" t="str">
        <x:v>Idle, Walk, Attack, Hurt</x:v>
      </x:c>
      <x:c r="H377" s="5" t="str">
        <x:v>Validated</x:v>
      </x:c>
      <x:c r="I377" s="5" t="str">
        <x:v>Pending</x:v>
      </x:c>
      <x:c r="J377" s="5" t="str">
        <x:v>Host binding pending</x:v>
      </x:c>
      <x:c r="K377" s="5" t="str">
        <x:v>shardstead-workers/Shardstead_Energywright.glb</x:v>
      </x:c>
      <x:c r="L377" s="5" t="str">
        <x:v>04ddad8286448196df3babe52ddec414f6b10f931ac066a00a5f693b815b36a0</x:v>
      </x:c>
      <x:c r="M377" s="41" t="n">
        <x:v>1</x:v>
      </x:c>
      <x:c r="N377" s="5" t="str">
        <x:v>n.a.</x:v>
      </x:c>
      <x:c r="O377" s="5" t="str">
        <x:v>n.a.</x:v>
      </x:c>
      <x:c r="P377" s="5" t="n">
        <x:v>0</x:v>
      </x:c>
      <x:c r="Q377" s="5" t="str">
        <x:v>PR139 / actual rigged GLB</x:v>
      </x:c>
    </x:row>
    <x:row r="378">
      <x:c r="A378" s="5" t="str">
        <x:v>Shardstead_Rescuer</x:v>
      </x:c>
      <x:c r="B378" s="5" t="str">
        <x:v>Character</x:v>
      </x:c>
      <x:c r="C378" s="5" t="str">
        <x:v>World Zero</x:v>
      </x:c>
      <x:c r="D378" s="5" t="str">
        <x:v>unicorn rescue guide</x:v>
      </x:c>
      <x:c r="E378" s="40" t="n">
        <x:v>1288</x:v>
      </x:c>
      <x:c r="F378" s="5" t="str">
        <x:v>shared-humanoid-14</x:v>
      </x:c>
      <x:c r="G378" s="5" t="str">
        <x:v>Idle, Walk, Attack, Hurt</x:v>
      </x:c>
      <x:c r="H378" s="5" t="str">
        <x:v>Validated</x:v>
      </x:c>
      <x:c r="I378" s="5" t="str">
        <x:v>Pending</x:v>
      </x:c>
      <x:c r="J378" s="5" t="str">
        <x:v>Host binding pending</x:v>
      </x:c>
      <x:c r="K378" s="5" t="str">
        <x:v>shardstead-workers/Shardstead_Rescuer.glb</x:v>
      </x:c>
      <x:c r="L378" s="5" t="str">
        <x:v>005bb36a263f9f653b2d96c3a411c4bcd0e9b8b612c7670f5677d4190a6be50f</x:v>
      </x:c>
      <x:c r="M378" s="41" t="n">
        <x:v>1</x:v>
      </x:c>
      <x:c r="N378" s="5" t="str">
        <x:v>n.a.</x:v>
      </x:c>
      <x:c r="O378" s="5" t="str">
        <x:v>n.a.</x:v>
      </x:c>
      <x:c r="P378" s="5" t="n">
        <x:v>0</x:v>
      </x:c>
      <x:c r="Q378" s="5" t="str">
        <x:v>PR139 / actual rigged GLB</x:v>
      </x:c>
    </x:row>
  </x:sheetData>
  <x:dataValidations count="12">
    <x:dataValidation type="list" sqref="I6:I72">
      <x:formula1>"Pending,Imported,Play proven"</x:formula1>
    </x:dataValidation>
    <x:dataValidation type="list" sqref="J6:J72">
      <x:formula1>"Binding pending,Core tested,Play proven"</x:formula1>
    </x:dataValidation>
    <x:dataValidation type="list" sqref="I73:I163">
      <x:formula1>"Pending,Imported,Play proven"</x:formula1>
    </x:dataValidation>
    <x:dataValidation type="list" sqref="J73:J163">
      <x:formula1>"Binding pending,Core tested,Play proven"</x:formula1>
    </x:dataValidation>
    <x:dataValidation type="list" sqref="I164:I189">
      <x:formula1>"Pending,Imported,Play proven"</x:formula1>
    </x:dataValidation>
    <x:dataValidation type="list" sqref="J164:J189">
      <x:formula1>"Binding pending,Core tested,Play proven"</x:formula1>
    </x:dataValidation>
    <x:dataValidation type="list" sqref="I190:I232">
      <x:formula1>"Pending,Imported,Play proven"</x:formula1>
    </x:dataValidation>
    <x:dataValidation type="list" sqref="J190:J232">
      <x:formula1>"Binding pending,Core tested,Play proven"</x:formula1>
    </x:dataValidation>
    <x:dataValidation type="list" sqref="I233:I288">
      <x:formula1>"Pending,Imported,Play proven"</x:formula1>
    </x:dataValidation>
    <x:dataValidation type="list" sqref="J233:J288">
      <x:formula1>"Binding pending,Core tested,Play proven"</x:formula1>
    </x:dataValidation>
    <x:dataValidation type="list" sqref="I289:I344">
      <x:formula1>"Pending,Imported,Play proven"</x:formula1>
    </x:dataValidation>
    <x:dataValidation type="list" sqref="J289:J344">
      <x:formula1>"Binding pending,Core tested,Play proven"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0" hidden="0" customWidth="1"/>
    <x:col min="3" max="3" width="50" hidden="0" customWidth="1"/>
    <x:col min="4" max="4" width="24" hidden="0" customWidth="1"/>
    <x:col min="5" max="5" width="57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A2" s="3" t="str">
        <x:v>Realm mechanics and story build list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>
      <x:c r="A4" s="2" t="str">
        <x:v>Source: cast role brief and new art-led proposals. Values and rewards await director review.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46" customHeight="1">
      <x:c r="A5" s="12" t="str">
        <x:v>ID</x:v>
      </x:c>
      <x:c r="B5" s="12" t="str">
        <x:v>Mechanic / quest</x:v>
      </x:c>
      <x:c r="C5" s="12" t="str">
        <x:v>Relevant assets</x:v>
      </x:c>
      <x:c r="D5" s="12" t="str">
        <x:v>Implementation</x:v>
      </x:c>
      <x:c r="E5" s="12" t="str">
        <x:v>Story consequence</x:v>
      </x:c>
      <x:c r="F5" s="2"/>
      <x:c r="G5" s="2"/>
      <x:c r="H5" s="2"/>
      <x:c r="I5" s="2"/>
      <x:c r="J5" s="2"/>
      <x:c r="K5" s="2"/>
      <x:c r="L5" s="2"/>
    </x:row>
    <x:row r="6" ht="46" customHeight="1">
      <x:c r="A6" s="2" t="str">
        <x:v>LAB01</x:v>
      </x:c>
      <x:c r="B6" s="4" t="str">
        <x:v>Chalk marks with limited charges</x:v>
      </x:c>
      <x:c r="C6" s="4" t="str">
        <x:v>ChalkMarker, ChalkEater, ChalkKitten</x:v>
      </x:c>
      <x:c r="D6" s="4" t="str">
        <x:v>Portable core tested</x:v>
      </x:c>
      <x:c r="E6" s="4" t="str">
        <x:v>Learn that a route can be changed without losing quest progress</x:v>
      </x:c>
      <x:c r="F6" s="2"/>
      <x:c r="G6" s="2"/>
      <x:c r="H6" s="2"/>
      <x:c r="I6" s="2"/>
      <x:c r="J6" s="2"/>
      <x:c r="K6" s="2"/>
      <x:c r="L6" s="2"/>
    </x:row>
    <x:row r="7" ht="46" customHeight="1">
      <x:c r="A7" s="2" t="str">
        <x:v>LAB02</x:v>
      </x:c>
      <x:c r="B7" s="4" t="str">
        <x:v>Thread route anchored at safe points</x:v>
      </x:c>
      <x:c r="C7" s="4" t="str">
        <x:v>ThreadSpinnerAri, ThreadAnchor, ThreadMoth</x:v>
      </x:c>
      <x:c r="D7" s="4" t="str">
        <x:v>Proposed</x:v>
      </x:c>
      <x:c r="E7" s="4" t="str">
        <x:v>Bring the lost survey party home</x:v>
      </x:c>
      <x:c r="F7" s="2"/>
      <x:c r="G7" s="2"/>
      <x:c r="H7" s="2"/>
      <x:c r="I7" s="2"/>
      <x:c r="J7" s="2"/>
      <x:c r="K7" s="2"/>
      <x:c r="L7" s="2"/>
    </x:row>
    <x:row r="8" ht="46" customHeight="1">
      <x:c r="A8" s="2" t="str">
        <x:v>LAB03</x:v>
      </x:c>
      <x:c r="B8" s="4" t="str">
        <x:v>Echo bell timing gate</x:v>
      </x:c>
      <x:c r="C8" s="4" t="str">
        <x:v>EchoBell, EchoHermit, EchoCricket</x:v>
      </x:c>
      <x:c r="D8" s="4" t="str">
        <x:v>Proposed</x:v>
      </x:c>
      <x:c r="E8" s="4" t="str">
        <x:v>Listen to the maze before trusting a map</x:v>
      </x:c>
      <x:c r="F8" s="2"/>
      <x:c r="G8" s="2"/>
      <x:c r="H8" s="2"/>
      <x:c r="I8" s="2"/>
      <x:c r="J8" s="2"/>
      <x:c r="K8" s="2"/>
      <x:c r="L8" s="2"/>
    </x:row>
    <x:row r="9" ht="46" customHeight="1">
      <x:c r="A9" s="2" t="str">
        <x:v>LAB04</x:v>
      </x:c>
      <x:c r="B9" s="4" t="str">
        <x:v>Compare two unreliable maps</x:v>
      </x:c>
      <x:c r="C9" s="4" t="str">
        <x:v>LostCartographer, ArchitectApprentice</x:v>
      </x:c>
      <x:c r="D9" s="4" t="str">
        <x:v>Proposed</x:v>
      </x:c>
      <x:c r="E9" s="4" t="str">
        <x:v>Repair the Broken Survey</x:v>
      </x:c>
      <x:c r="F9" s="2"/>
      <x:c r="G9" s="2"/>
      <x:c r="H9" s="2"/>
      <x:c r="I9" s="2"/>
      <x:c r="J9" s="2"/>
      <x:c r="K9" s="2"/>
      <x:c r="L9" s="2"/>
    </x:row>
    <x:row r="10" ht="46" customHeight="1">
      <x:c r="A10" s="2" t="str">
        <x:v>LAB05</x:v>
      </x:c>
      <x:c r="B10" s="4" t="str">
        <x:v>Care before a sky-strider ride</x:v>
      </x:c>
      <x:c r="C10" s="4" t="str">
        <x:v>StriderTamerOona, SkyStrider, StriderPerch</x:v>
      </x:c>
      <x:c r="D10" s="4" t="str">
        <x:v>Proposed</x:v>
      </x:c>
      <x:c r="E10" s="4" t="str">
        <x:v>Earn a safer return route</x:v>
      </x:c>
      <x:c r="F10" s="2"/>
      <x:c r="G10" s="2"/>
      <x:c r="H10" s="2"/>
      <x:c r="I10" s="2"/>
      <x:c r="J10" s="2"/>
      <x:c r="K10" s="2"/>
      <x:c r="L10" s="2"/>
    </x:row>
    <x:row r="11" ht="46" customHeight="1">
      <x:c r="A11" s="2" t="str">
        <x:v>LAB06</x:v>
      </x:c>
      <x:c r="B11" s="4" t="str">
        <x:v>Calm Hornbacks with water and space</x:v>
      </x:c>
      <x:c r="C11" s="4" t="str">
        <x:v>HerdWardenTobi, HornbackBull, HornbackTrough</x:v>
      </x:c>
      <x:c r="D11" s="4" t="str">
        <x:v>Proposed</x:v>
      </x:c>
      <x:c r="E11" s="4" t="str">
        <x:v>Replace a dangerous stampede with a guided passage</x:v>
      </x:c>
      <x:c r="F11" s="2"/>
      <x:c r="G11" s="2"/>
      <x:c r="H11" s="2"/>
      <x:c r="I11" s="2"/>
      <x:c r="J11" s="2"/>
      <x:c r="K11" s="2"/>
      <x:c r="L11" s="2"/>
    </x:row>
    <x:row r="12" ht="46" customHeight="1">
      <x:c r="A12" s="2" t="str">
        <x:v>LAB07</x:v>
      </x:c>
      <x:c r="B12" s="4" t="str">
        <x:v>Twin Doors truth/lie puzzle</x:v>
      </x:c>
      <x:c r="C12" s="4" t="str">
        <x:v>TwinDoors, GateRiddler, GateArch</x:v>
      </x:c>
      <x:c r="D12" s="4" t="str">
        <x:v>Proposed</x:v>
      </x:c>
      <x:c r="E12" s="4" t="str">
        <x:v>Open the archive through reasoning</x:v>
      </x:c>
      <x:c r="F12" s="2"/>
      <x:c r="G12" s="2"/>
      <x:c r="H12" s="2"/>
      <x:c r="I12" s="2"/>
      <x:c r="J12" s="2"/>
      <x:c r="K12" s="2"/>
      <x:c r="L12" s="2"/>
    </x:row>
    <x:row r="13" ht="46" customHeight="1">
      <x:c r="A13" s="2" t="str">
        <x:v>LAB08</x:v>
      </x:c>
      <x:c r="B13" s="4" t="str">
        <x:v>Folding Maze boss changes safe corridors</x:v>
      </x:c>
      <x:c r="C13" s="4" t="str">
        <x:v>FoldingMaze, WallMimic, Wall4m</x:v>
      </x:c>
      <x:c r="D13" s="4" t="str">
        <x:v>Proposed</x:v>
      </x:c>
      <x:c r="E13" s="4" t="str">
        <x:v>Restore an exit without destroying the living maze</x:v>
      </x:c>
      <x:c r="F13" s="2"/>
      <x:c r="G13" s="2"/>
      <x:c r="H13" s="2"/>
      <x:c r="I13" s="2"/>
      <x:c r="J13" s="2"/>
      <x:c r="K13" s="2"/>
      <x:c r="L13" s="2"/>
    </x:row>
    <x:row r="14" ht="46" customHeight="1">
      <x:c r="A14" s="2" t="str">
        <x:v>LAB09</x:v>
      </x:c>
      <x:c r="B14" s="4" t="str">
        <x:v>Halloween belongs only in Labyrinth</x:v>
      </x:c>
      <x:c r="C14" s="4" t="str">
        <x:v>Twelve Halloween scenery props</x:v>
      </x:c>
      <x:c r="D14" s="4" t="str">
        <x:v>Art built. Binding pending</x:v>
      </x:c>
      <x:c r="E14" s="4" t="str">
        <x:v>The maze keeps the seasonal folklore</x:v>
      </x:c>
      <x:c r="F14" s="2"/>
      <x:c r="G14" s="2"/>
      <x:c r="H14" s="2"/>
      <x:c r="I14" s="2"/>
      <x:c r="J14" s="2"/>
      <x:c r="K14" s="2"/>
      <x:c r="L14" s="2"/>
    </x:row>
    <x:row r="15" ht="46" customHeight="1">
      <x:c r="A15" s="2" t="str">
        <x:v>LAB10</x:v>
      </x:c>
      <x:c r="B15" s="4" t="str">
        <x:v>Carnivorous plants help and defend players</x:v>
      </x:c>
      <x:c r="C15" s="4" t="str">
        <x:v>VenusGuide, PitcherMedic, SundewGuardian</x:v>
      </x:c>
      <x:c r="D15" s="4" t="str">
        <x:v>Portable policy tested</x:v>
      </x:c>
      <x:c r="E15" s="4" t="str">
        <x:v>Kindness can grow in frightening places</x:v>
      </x:c>
      <x:c r="F15" s="2"/>
      <x:c r="G15" s="2"/>
      <x:c r="H15" s="2"/>
      <x:c r="I15" s="2"/>
      <x:c r="J15" s="2"/>
      <x:c r="K15" s="2"/>
      <x:c r="L15" s="2"/>
    </x:row>
    <x:row r="16" ht="46" customHeight="1">
      <x:c r="A16" s="2" t="str">
        <x:v>LAB11</x:v>
      </x:c>
      <x:c r="B16" s="4" t="str">
        <x:v>Plant aid quests teach care before reward</x:v>
      </x:c>
      <x:c r="C16" s="4" t="str">
        <x:v>Friendly plants, trough, route markers</x:v>
      </x:c>
      <x:c r="D16" s="4" t="str">
        <x:v>Proposed</x:v>
      </x:c>
      <x:c r="E16" s="4" t="str">
        <x:v>Help the helpers maintain safe passages</x:v>
      </x:c>
      <x:c r="F16" s="2"/>
      <x:c r="G16" s="2"/>
      <x:c r="H16" s="2"/>
      <x:c r="I16" s="2"/>
      <x:c r="J16" s="2"/>
      <x:c r="K16" s="2"/>
      <x:c r="L16" s="2"/>
    </x:row>
    <x:row r="17" ht="46" customHeight="1">
      <x:c r="A17" s="2" t="str">
        <x:v>PORT01</x:v>
      </x:c>
      <x:c r="B17" s="4" t="str">
        <x:v>Existing keys and chest rules</x:v>
      </x:c>
      <x:c r="C17" s="4" t="str">
        <x:v>BronzeGate, SilverGate, StarGate, KeyChest</x:v>
      </x:c>
      <x:c r="D17" s="4" t="str">
        <x:v>Source implemented. Binding pending</x:v>
      </x:c>
      <x:c r="E17" s="4" t="str">
        <x:v>Earn passage through the queen’s archive</x:v>
      </x:c>
      <x:c r="F17" s="2"/>
      <x:c r="G17" s="2"/>
      <x:c r="H17" s="2"/>
      <x:c r="I17" s="2"/>
      <x:c r="J17" s="2"/>
      <x:c r="K17" s="2"/>
      <x:c r="L17" s="2"/>
    </x:row>
    <x:row r="18" ht="46" customHeight="1">
      <x:c r="A18" s="2" t="str">
        <x:v>PORT02</x:v>
      </x:c>
      <x:c r="B18" s="4" t="str">
        <x:v>Existing depth and encounter zones</x:v>
      </x:c>
      <x:c r="C18" s="4" t="str">
        <x:v>Fifteen RetroMonster source keys</x:v>
      </x:c>
      <x:c r="D18" s="4" t="str">
        <x:v>Source implemented. Binding pending</x:v>
      </x:c>
      <x:c r="E18" s="4" t="str">
        <x:v>Danger rises with the journey, not a cosmetic tier</x:v>
      </x:c>
      <x:c r="F18" s="2"/>
      <x:c r="G18" s="2"/>
      <x:c r="H18" s="2"/>
      <x:c r="I18" s="2"/>
      <x:c r="J18" s="2"/>
      <x:c r="K18" s="2"/>
      <x:c r="L18" s="2"/>
    </x:row>
    <x:row r="19" ht="46" customHeight="1">
      <x:c r="A19" s="2" t="str">
        <x:v>PORT03</x:v>
      </x:c>
      <x:c r="B19" s="4" t="str">
        <x:v>Inn, shops, queen and map-derived hints</x:v>
      </x:c>
      <x:c r="C19" s="4" t="str">
        <x:v>Twelve town NPC art forms</x:v>
      </x:c>
      <x:c r="D19" s="4" t="str">
        <x:v>Source implemented. Binding pending</x:v>
      </x:c>
      <x:c r="E19" s="4" t="str">
        <x:v>Each town teaches something useful for the road</x:v>
      </x:c>
      <x:c r="F19" s="2"/>
      <x:c r="G19" s="2"/>
      <x:c r="H19" s="2"/>
      <x:c r="I19" s="2"/>
      <x:c r="J19" s="2"/>
      <x:c r="K19" s="2"/>
      <x:c r="L19" s="2"/>
    </x:row>
    <x:row r="20" ht="46" customHeight="1">
      <x:c r="A20" s="2" t="str">
        <x:v>PORT04</x:v>
      </x:c>
      <x:c r="B20" s="4" t="str">
        <x:v>Four party forms</x:v>
      </x:c>
      <x:c r="C20" s="4" t="str">
        <x:v>Knight, Tinker, Herbalist, Bard</x:v>
      </x:c>
      <x:c r="D20" s="4" t="str">
        <x:v>Art built. Party integration pending</x:v>
      </x:c>
      <x:c r="E20" s="4" t="str">
        <x:v>Travellers take on this realm’s roles</x:v>
      </x:c>
      <x:c r="F20" s="2"/>
      <x:c r="G20" s="2"/>
      <x:c r="H20" s="2"/>
      <x:c r="I20" s="2"/>
      <x:c r="J20" s="2"/>
      <x:c r="K20" s="2"/>
      <x:c r="L20" s="2"/>
    </x:row>
    <x:row r="21" ht="46" customHeight="1">
      <x:c r="A21" s="2" t="str">
        <x:v>PORT05</x:v>
      </x:c>
      <x:c r="B21" s="4" t="str">
        <x:v>Golden Puffcap encounter</x:v>
      </x:c>
      <x:c r="C21" s="4" t="str">
        <x:v>GOLDEN_PUFFCAP_T1</x:v>
      </x:c>
      <x:c r="D21" s="4" t="str">
        <x:v>Proposed. No encounter odds added</x:v>
      </x:c>
      <x:c r="E21" s="4" t="str">
        <x:v>A rare surprise without replacing Lucky Drip</x:v>
      </x:c>
      <x:c r="F21" s="2"/>
      <x:c r="G21" s="2"/>
      <x:c r="H21" s="2"/>
      <x:c r="I21" s="2"/>
      <x:c r="J21" s="2"/>
      <x:c r="K21" s="2"/>
      <x:c r="L21" s="2"/>
    </x:row>
    <x:row r="22" ht="46" customHeight="1">
      <x:c r="A22" s="2" t="str">
        <x:v>PORT06</x:v>
      </x:c>
      <x:c r="B22" s="4" t="str">
        <x:v>Land egg growth stages</x:v>
      </x:c>
      <x:c r="C22" s="4" t="str">
        <x:v>Intact/cracked egg, hatchling/young dragon</x:v>
      </x:c>
      <x:c r="D22" s="4" t="str">
        <x:v>Art built. Token/gameplay pending</x:v>
      </x:c>
      <x:c r="E22" s="4" t="str">
        <x:v>One egg becomes a companion while keeping its identity</x:v>
      </x:c>
      <x:c r="F22" s="2"/>
      <x:c r="G22" s="2"/>
      <x:c r="H22" s="2"/>
      <x:c r="I22" s="2"/>
      <x:c r="J22" s="2"/>
      <x:c r="K22" s="2"/>
      <x:c r="L22" s="2"/>
    </x:row>
    <x:row r="23" ht="46" customHeight="1">
      <x:c r="A23" s="2" t="str">
        <x:v>PORT07</x:v>
      </x:c>
      <x:c r="B23" s="4" t="str">
        <x:v>Bard gives an accessible route refrain</x:v>
      </x:c>
      <x:c r="C23" s="4" t="str">
        <x:v>Bard, TavernBard, StagePlatform</x:v>
      </x:c>
      <x:c r="D23" s="4" t="str">
        <x:v>Proposed</x:v>
      </x:c>
      <x:c r="E23" s="4" t="str">
        <x:v>A song and matching text clue help find the next town</x:v>
      </x:c>
      <x:c r="F23" s="2"/>
      <x:c r="G23" s="2"/>
      <x:c r="H23" s="2"/>
      <x:c r="I23" s="2"/>
      <x:c r="J23" s="2"/>
      <x:c r="K23" s="2"/>
      <x:c r="L23" s="2"/>
    </x:row>
    <x:row r="24" ht="46" customHeight="1">
      <x:c r="A24" s="2" t="str">
        <x:v>PORT08</x:v>
      </x:c>
      <x:c r="B24" s="4" t="str">
        <x:v>Touring jukebox cue reuse</x:v>
      </x:c>
      <x:c r="C24" s="4" t="str">
        <x:v>StagePlatform, TavernBard</x:v>
      </x:c>
      <x:c r="D24" s="4" t="str">
        <x:v>Existing audio route. Binding pending</x:v>
      </x:c>
      <x:c r="E24" s="4" t="str">
        <x:v>Rest and concerts make towns feel inhabited</x:v>
      </x:c>
      <x:c r="F24" s="2"/>
      <x:c r="G24" s="2"/>
      <x:c r="H24" s="2"/>
      <x:c r="I24" s="2"/>
      <x:c r="J24" s="2"/>
      <x:c r="K24" s="2"/>
      <x:c r="L24" s="2"/>
    </x:row>
    <x:row r="25" ht="52" customHeight="1">
      <x:c r="A25" s="2" t="str">
        <x:v>PORT09</x:v>
      </x:c>
      <x:c r="B25" s="4" t="str">
        <x:v>Kings favours, rescues, unicorn requests</x:v>
      </x:c>
      <x:c r="C25" s="4" t="str">
        <x:v>Ordered quest core</x:v>
      </x:c>
      <x:c r="D25" s="4" t="str">
        <x:v>Core tested; persistence and rewards pending</x:v>
      </x:c>
      <x:c r="E25" s="4" t="str">
        <x:v>Royal roads connect rescued towns and helpful herds</x:v>
      </x:c>
      <x:c r="F25" s="2"/>
      <x:c r="G25" s="2"/>
      <x:c r="H25" s="2"/>
      <x:c r="I25" s="2"/>
      <x:c r="J25" s="2"/>
      <x:c r="K25" s="2"/>
      <x:c r="L25" s="2"/>
    </x:row>
    <x:row r="26" ht="52" customHeight="1">
      <x:c r="A26" s="2" t="str">
        <x:v>PORT10</x:v>
      </x:c>
      <x:c r="B26" s="4" t="str">
        <x:v>Additive 3D battle presentation</x:v>
      </x:c>
      <x:c r="C26" s="4" t="str">
        <x:v>Battle director + presentation actor</x:v>
      </x:c>
      <x:c r="D26" s="4" t="str">
        <x:v>Isolated UE compile/link; live binding pending</x:v>
      </x:c>
      <x:c r="E26" s="4" t="str">
        <x:v>Preserve classic rules and improve expressive battles</x:v>
      </x:c>
      <x:c r="F26" s="2"/>
      <x:c r="G26" s="2"/>
      <x:c r="H26" s="2"/>
      <x:c r="I26" s="2"/>
      <x:c r="J26" s="2"/>
      <x:c r="K26" s="2"/>
      <x:c r="L26" s="2"/>
    </x:row>
    <x:row r="27" ht="52" customHeight="1">
      <x:c r="A27" s="2" t="str">
        <x:v>PORT11</x:v>
      </x:c>
      <x:c r="B27" s="4" t="str">
        <x:v>Hero/slime polish and hero detail levels</x:v>
      </x:c>
      <x:c r="C27" s="4" t="str">
        <x:v>Hero + 10 slimes + 2 reduced exports</x:v>
      </x:c>
      <x:c r="D27" s="4" t="str">
        <x:v>Exports validated; visual/native acceptance pending</x:v>
      </x:c>
      <x:c r="E27" s="4" t="str">
        <x:v>Distinct silhouettes retain the raw realm identity</x:v>
      </x:c>
      <x:c r="F27" s="2"/>
      <x:c r="G27" s="2"/>
      <x:c r="H27" s="2"/>
      <x:c r="I27" s="2"/>
      <x:c r="J27" s="2"/>
      <x:c r="K27" s="2"/>
      <x:c r="L27" s="2"/>
    </x:row>
    <x:row r="28" ht="52" customHeight="1">
      <x:c r="A28" s="2" t="str">
        <x:v>PORT12</x:v>
      </x:c>
      <x:c r="B28" s="4" t="str">
        <x:v>Dragon egg and configured land annotations</x:v>
      </x:c>
      <x:c r="C28" s="4" t="str">
        <x:v>Java egg + DRR codec parity</x:v>
      </x:c>
      <x:c r="D28" s="4" t="str">
        <x:v>Targeted Java parity tested; ownership authority pending</x:v>
      </x:c>
      <x:c r="E28" s="4" t="str">
        <x:v>Native drake semantics preserved without demo deed authority</x:v>
      </x:c>
      <x:c r="F28" s="2"/>
      <x:c r="G28" s="2"/>
      <x:c r="H28" s="2"/>
      <x:c r="I28" s="2"/>
      <x:c r="J28" s="2"/>
      <x:c r="K28" s="2"/>
      <x:c r="L28" s="2"/>
    </x:row>
    <x:row r="29" ht="52" customHeight="1">
      <x:c r="A29" s="2" t="str">
        <x:v>SEA01</x:v>
      </x:c>
      <x:c r="B29" s="4" t="str">
        <x:v>Boats/submarines enter ocean; shores return; underwater docks connect worlds</x:v>
      </x:c>
      <x:c r="C29" s="4" t="str">
        <x:v>Dock route core</x:v>
      </x:c>
      <x:c r="D29" s="4" t="str">
        <x:v>Core tested; vessels/live transitions pending</x:v>
      </x:c>
      <x:c r="E29" s="4" t="str">
        <x:v>Explore sea routes and drowned settlements</x:v>
      </x:c>
      <x:c r="F29" s="2"/>
      <x:c r="G29" s="2"/>
      <x:c r="H29" s="2"/>
      <x:c r="I29" s="2"/>
      <x:c r="J29" s="2"/>
      <x:c r="K29" s="2"/>
      <x:c r="L29" s="2"/>
    </x:row>
    <x:row r="30" ht="52" customHeight="1">
      <x:c r="A30" s="2" t="str">
        <x:v>LAND01</x:v>
      </x:c>
      <x:c r="B30" s="4" t="str">
        <x:v>Long prairie range and submerged seabed</x:v>
      </x:c>
      <x:c r="C30" s="4" t="str">
        <x:v>Terrain core + native actor</x:v>
      </x:c>
      <x:c r="D30" s="4" t="str">
        <x:v>Isolated UE compile/link; placement pending</x:v>
      </x:c>
      <x:c r="E30" s="4" t="str">
        <x:v>Buffalo ranges, travel corridors and ocean exploration</x:v>
      </x:c>
      <x:c r="F30" s="2"/>
      <x:c r="G30" s="2"/>
      <x:c r="H30" s="2"/>
      <x:c r="I30" s="2"/>
      <x:c r="J30" s="2"/>
      <x:c r="K30" s="2"/>
      <x:c r="L30" s="2"/>
    </x:row>
    <x:row r="31" ht="52" customHeight="1">
      <x:c r="A31" s="2" t="str">
        <x:v>CAST01</x:v>
      </x:c>
      <x:c r="B31" s="4" t="str">
        <x:v>50 enemy and 50 friendly types, 10 each</x:v>
      </x:c>
      <x:c r="C31" s="4" t="str">
        <x:v>1000 individual production IDs</x:v>
      </x:c>
      <x:c r="D31" s="4" t="str">
        <x:v>10 enemy candidates validated; others planned</x:v>
      </x:c>
      <x:c r="E31" s="4" t="str">
        <x:v>Kings, rescues and unicorn biddings drive the cast</x:v>
      </x:c>
      <x:c r="F31" s="2"/>
      <x:c r="G31" s="2"/>
      <x:c r="H31" s="2"/>
      <x:c r="I31" s="2"/>
      <x:c r="J31" s="2"/>
      <x:c r="K31" s="2"/>
      <x:c r="L31" s="2"/>
    </x:row>
    <x:row r="32" ht="52" customHeight="1">
      <x:c r="A32" s="2" t="str">
        <x:v>GAL01</x:v>
      </x:c>
      <x:c r="B32" s="4" t="str">
        <x:v>Living paintings and colour knowledge</x:v>
      </x:c>
      <x:c r="C32" s="4" t="str">
        <x:v>32 role cast with 19 creature/mount/pet visuals</x:v>
      </x:c>
      <x:c r="D32" s="4" t="str">
        <x:v>Art validated; abilities proposed</x:v>
      </x:c>
      <x:c r="E32" s="4" t="str">
        <x:v>Restore city murals and make colour useful</x:v>
      </x:c>
      <x:c r="F32" s="2"/>
      <x:c r="G32" s="2"/>
      <x:c r="H32" s="2"/>
      <x:c r="I32" s="2"/>
      <x:c r="J32" s="2"/>
      <x:c r="K32" s="2"/>
      <x:c r="L32" s="2"/>
    </x:row>
    <x:row r="33" ht="52" customHeight="1">
      <x:c r="A33" s="2" t="str">
        <x:v>GAL02</x:v>
      </x:c>
      <x:c r="B33" s="4" t="str">
        <x:v>Frame streets, workstations, drone/sea arrival docks</x:v>
      </x:c>
      <x:c r="C33" s="4" t="str">
        <x:v>24 modular props, 2 m snap grid</x:v>
      </x:c>
      <x:c r="D33" s="4" t="str">
        <x:v>Static validation; collision/interaction pending</x:v>
      </x:c>
      <x:c r="E33" s="4" t="str">
        <x:v>Connect framed plazas, workshops and visiting realms</x:v>
      </x:c>
      <x:c r="F33" s="2"/>
      <x:c r="G33" s="2"/>
      <x:c r="H33" s="2"/>
      <x:c r="I33" s="2"/>
      <x:c r="J33" s="2"/>
      <x:c r="K33" s="2"/>
      <x:c r="L33" s="2"/>
    </x:row>
    <x:row r="34" ht="52" customHeight="1">
      <x:c r="A34" s="2" t="str">
        <x:v>GAL03</x:v>
      </x:c>
      <x:c r="B34" s="4" t="str">
        <x:v>Curator reward must require actual objective proof</x:v>
      </x:c>
      <x:c r="C34" s="4" t="str">
        <x:v>Existing DCS found choice + FRAME_PLATE</x:v>
      </x:c>
      <x:c r="D34" s="4" t="str">
        <x:v>Owner notified; authoritative gating pending</x:v>
      </x:c>
      <x:c r="E34" s="4" t="str">
        <x:v>Claims of a rescue/discovery must reflect completed actions</x:v>
      </x:c>
      <x:c r="F34" s="2"/>
      <x:c r="G34" s="2"/>
      <x:c r="H34" s="2"/>
      <x:c r="I34" s="2"/>
      <x:c r="J34" s="2"/>
      <x:c r="K34" s="2"/>
      <x:c r="L34" s="2"/>
    </x:row>
    <x:row r="35" ht="52" customHeight="1">
      <x:c r="A35" s="2" t="str">
        <x:v>PAR01</x:v>
      </x:c>
      <x:c r="B35" s="4" t="str">
        <x:v>Mail, farming and boundary guidance</x:v>
      </x:c>
      <x:c r="C35" s="4" t="str">
        <x:v>32 cast/creature/mount/pet role models</x:v>
      </x:c>
      <x:c r="D35" s="4" t="str">
        <x:v>Art validated; behaviors pending</x:v>
      </x:c>
      <x:c r="E35" s="4" t="str">
        <x:v>Help neighbours and reconnect isolated plots</x:v>
      </x:c>
      <x:c r="F35" s="2"/>
      <x:c r="G35" s="2"/>
      <x:c r="H35" s="2"/>
      <x:c r="I35" s="2"/>
      <x:c r="J35" s="2"/>
      <x:c r="K35" s="2"/>
      <x:c r="L35" s="2"/>
    </x:row>
    <x:row r="36" ht="52" customHeight="1">
      <x:c r="A36" s="2" t="str">
        <x:v>PAR02</x:v>
      </x:c>
      <x:c r="B36" s="4" t="str">
        <x:v>Roads, fields, mail stations, helipad and ocean docks</x:v>
      </x:c>
      <x:c r="C36" s="4" t="str">
        <x:v>23 original props + one reused AMF trough</x:v>
      </x:c>
      <x:c r="D36" s="4" t="str">
        <x:v>Static validation; interactions/transport pending</x:v>
      </x:c>
      <x:c r="E36" s="4" t="str">
        <x:v>Farm roads connect village work to wider journeys</x:v>
      </x:c>
      <x:c r="F36" s="2"/>
      <x:c r="G36" s="2"/>
      <x:c r="H36" s="2"/>
      <x:c r="I36" s="2"/>
      <x:c r="J36" s="2"/>
      <x:c r="K36" s="2"/>
      <x:c r="L36" s="2"/>
    </x:row>
    <x:row r="37" ht="52" customHeight="1">
      <x:c r="A37" s="2" t="str">
        <x:v>PAR03</x:v>
      </x:c>
      <x:c r="B37" s="4" t="str">
        <x:v>Reuse existing geometry without copying authority</x:v>
      </x:c>
      <x:c r="C37" s="4" t="str">
        <x:v>Original AMF trough ID/SHA retained</x:v>
      </x:c>
      <x:c r="D37" s="4" t="str">
        <x:v>No tonic transaction behavior inherited</x:v>
      </x:c>
      <x:c r="E37" s="4" t="str">
        <x:v>Water supplies and companion care use explicit host rules</x:v>
      </x:c>
      <x:c r="F37" s="2"/>
      <x:c r="G37" s="2"/>
      <x:c r="H37" s="2"/>
      <x:c r="I37" s="2"/>
      <x:c r="J37" s="2"/>
      <x:c r="K37" s="2"/>
      <x:c r="L37" s="2"/>
    </x:row>
    <x:row r="38" ht="52" customHeight="1">
      <x:c r="A38" s="2" t="str">
        <x:v>BRK01</x:v>
      </x:c>
      <x:c r="B38" s="4" t="str">
        <x:v>Repair scattered assemblies and restore the airfield</x:v>
      </x:c>
      <x:c r="C38" s="4" t="str">
        <x:v>32 cast/construct/mount/pet role models</x:v>
      </x:c>
      <x:c r="D38" s="4" t="str">
        <x:v>Art validated; host objective gates pending</x:v>
      </x:c>
      <x:c r="E38" s="4" t="str">
        <x:v>Missing Piece Collector guides repairs after Unmaker</x:v>
      </x:c>
      <x:c r="F38" s="2"/>
      <x:c r="G38" s="2"/>
      <x:c r="H38" s="2"/>
      <x:c r="I38" s="2"/>
      <x:c r="J38" s="2"/>
      <x:c r="K38" s="2"/>
      <x:c r="L38" s="2"/>
    </x:row>
    <x:row r="39" ht="52" customHeight="1">
      <x:c r="A39" s="2" t="str">
        <x:v>BRK02</x:v>
      </x:c>
      <x:c r="B39" s="4" t="str">
        <x:v>Meadow, road, runway and workshop modules</x:v>
      </x:c>
      <x:c r="C39" s="4" t="str">
        <x:v>24 original modular props</x:v>
      </x:c>
      <x:c r="D39" s="4" t="str">
        <x:v>Static validation; collision and interactions pending</x:v>
      </x:c>
      <x:c r="E39" s="4" t="str">
        <x:v>Long routes connect builders, workshops and sea docks</x:v>
      </x:c>
      <x:c r="F39" s="2"/>
      <x:c r="G39" s="2"/>
      <x:c r="H39" s="2"/>
      <x:c r="I39" s="2"/>
      <x:c r="J39" s="2"/>
      <x:c r="K39" s="2"/>
      <x:c r="L39" s="2"/>
    </x:row>
    <x:row r="40" ht="52" customHeight="1">
      <x:c r="A40" s="2" t="str">
        <x:v>BRK03</x:v>
      </x:c>
      <x:c r="B40" s="4" t="str">
        <x:v>Plane, hover cart and companion travel</x:v>
      </x:c>
      <x:c r="C40" s="4" t="str">
        <x:v>Three mount/vehicle models and four pets</x:v>
      </x:c>
      <x:c r="D40" s="4" t="str">
        <x:v>Native possession, physics and rewards pending</x:v>
      </x:c>
      <x:c r="E40" s="4" t="str">
        <x:v>Repair transport to reach new exploration routes</x:v>
      </x:c>
      <x:c r="F40" s="2"/>
      <x:c r="G40" s="2"/>
      <x:c r="H40" s="2"/>
      <x:c r="I40" s="2"/>
      <x:c r="J40" s="2"/>
      <x:c r="K40" s="2"/>
      <x:c r="L40" s="2"/>
    </x:row>
    <x:row r="41" ht="58" customHeight="1">
      <x:c r="A41" s="2" t="str">
        <x:v>OCE01</x:v>
      </x:c>
      <x:c r="B41" s="4" t="str">
        <x:v>Board/exit at configured docks</x:v>
      </x:c>
      <x:c r="C41" s="4" t="str">
        <x:v>Native possession, hull and camera checks</x:v>
      </x:c>
      <x:c r="D41" s="4" t="str">
        <x:v>Native and localhost E-key exit verified; art/physical controls pending</x:v>
      </x:c>
      <x:c r="E41" s="4" t="str">
        <x:v>Boats and submarines support journeys from docks</x:v>
      </x:c>
      <x:c r="F41" s="2"/>
      <x:c r="G41" s="2"/>
      <x:c r="H41" s="2"/>
      <x:c r="I41" s="2"/>
      <x:c r="J41" s="2"/>
      <x:c r="K41" s="2"/>
      <x:c r="L41" s="2"/>
    </x:row>
    <x:row r="42" ht="58" customHeight="1">
      <x:c r="A42" s="2" t="str">
        <x:v>OCE02</x:v>
      </x:c>
      <x:c r="B42" s="4" t="str">
        <x:v>Owned remote boarding request</x:v>
      </x:c>
      <x:c r="C42" s="4" t="str">
        <x:v>Server derives Hero from component owner</x:v>
      </x:c>
      <x:c r="D42" s="4" t="str">
        <x:v>Localhost boat/submarine boarding and exit passed</x:v>
      </x:c>
      <x:c r="E42" s="4" t="str">
        <x:v>Host session permissions still need integration</x:v>
      </x:c>
      <x:c r="F42" s="2"/>
      <x:c r="G42" s="2"/>
      <x:c r="H42" s="2"/>
      <x:c r="I42" s="2"/>
      <x:c r="J42" s="2"/>
      <x:c r="K42" s="2"/>
      <x:c r="L42" s="2"/>
    </x:row>
    <x:row r="43" ht="58" customHeight="1">
      <x:c r="A43" s="2" t="str">
        <x:v>OCE03</x:v>
      </x:c>
      <x:c r="B43" s="4" t="str">
        <x:v>Sea realm travel and shore return</x:v>
      </x:c>
      <x:c r="C43" s="4" t="str">
        <x:v>Approved boat/submarine and underwater dock rules</x:v>
      </x:c>
      <x:c r="D43" s="4" t="str">
        <x:v>Route core exists; loader/persistence integration pending</x:v>
      </x:c>
      <x:c r="E43" s="4" t="str">
        <x:v>Dragon Warrior shores return to land; underwater docks link realms</x:v>
      </x:c>
      <x:c r="F43" s="2"/>
      <x:c r="G43" s="2"/>
      <x:c r="H43" s="2"/>
      <x:c r="I43" s="2"/>
      <x:c r="J43" s="2"/>
      <x:c r="K43" s="2"/>
      <x:c r="L43" s="2"/>
    </x:row>
    <x:row r="44" ht="76" customHeight="1">
      <x:c r="A44" s="4" t="str">
        <x:v>OCE04</x:v>
      </x:c>
      <x:c r="B44" s="4" t="str">
        <x:v>Seeded open sea and floating dock</x:v>
      </x:c>
      <x:c r="C44" s="4" t="str">
        <x:v>Chunk generation; existing save/mesh formats</x:v>
      </x:c>
      <x:c r="D44" s="4" t="str">
        <x:v>706 core tests passed; server registration and Unreal acceptance pending</x:v>
      </x:c>
      <x:c r="E44" s="4" t="str">
        <x:v>Generate nearby sea chunks; preserve player edits before regeneration</x:v>
      </x:c>
      <x:c r="F44" s="2"/>
      <x:c r="G44" s="2"/>
      <x:c r="H44" s="2"/>
      <x:c r="I44" s="2"/>
      <x:c r="J44" s="2"/>
      <x:c r="K44" s="2"/>
      <x:c r="L44" s="2"/>
    </x:row>
    <x:row r="45" ht="88" customHeight="1">
      <x:c r="A45" s="4" t="str">
        <x:v>OCE05</x:v>
      </x:c>
      <x:c r="B45" s="4" t="str">
        <x:v>Visited sea chunks retain edits, including empty chunks</x:v>
      </x:c>
      <x:c r="C45" s="4" t="str">
        <x:v>Exclusive writer; seed/version checks; staged atomic saves</x:v>
      </x:c>
      <x:c r="D45" s="4" t="str">
        <x:v>712 core tests and separate-JVM restart/OS lock probe passed</x:v>
      </x:c>
      <x:c r="E45" s="4" t="str">
        <x:v>Local storage verified; host integration, public recovery and realm loading pending</x:v>
      </x:c>
      <x:c r="F45" s="2"/>
      <x:c r="G45" s="2"/>
      <x:c r="H45" s="2"/>
      <x:c r="I45" s="2"/>
      <x:c r="J45" s="2"/>
      <x:c r="K45" s="2"/>
      <x:c r="L45" s="2"/>
    </x:row>
    <x:row r="46" ht="88" customHeight="1">
      <x:c r="A46" s="4" t="str">
        <x:v>OCE06</x:v>
      </x:c>
      <x:c r="B46" s="4" t="str">
        <x:v>Nearby sea chunks use a bounded resident window</x:v>
      </x:c>
      <x:c r="C46" s="4" t="str">
        <x:v>Nearest-first warmup; write-through edits; safe eviction</x:v>
      </x:c>
      <x:c r="D46" s="4" t="str">
        <x:v>718 core tests and separate-process cache restart probe passed</x:v>
      </x:c>
      <x:c r="E46" s="4" t="str">
        <x:v>Local cache verified; authenticated host routes and Unreal streaming pending</x:v>
      </x:c>
      <x:c r="F46" s="2"/>
      <x:c r="G46" s="2"/>
      <x:c r="H46" s="2"/>
      <x:c r="I46" s="2"/>
      <x:c r="J46" s="2"/>
      <x:c r="K46" s="2"/>
      <x:c r="L46" s="2"/>
    </x:row>
    <x:row r="47" ht="88" customHeight="1">
      <x:c r="A47" s="4" t="str">
        <x:v>OCE07</x:v>
      </x:c>
      <x:c r="B47" s="4" t="str">
        <x:v>Authenticated sea-sector chunk reads</x:v>
      </x:c>
      <x:c r="C47" s="4" t="str">
        <x:v>Existing chunk DTO; bounded sector; per-key quota</x:v>
      </x:c>
      <x:c r="D47" s="4" t="str">
        <x:v>18 Ocean core + 14 server/auth tests; real prod HTTP/restart passed</x:v>
      </x:c>
      <x:c r="E47" s="4" t="str">
        <x:v>Opt-in API verified; native client, realm registration and public hosting pending</x:v>
      </x:c>
      <x:c r="F47" s="2"/>
      <x:c r="G47" s="2"/>
      <x:c r="H47" s="2"/>
      <x:c r="I47" s="2"/>
      <x:c r="J47" s="2"/>
      <x:c r="K47" s="2"/>
      <x:c r="L47" s="2"/>
    </x:row>
    <x:row r="48" ht="88" customHeight="1">
      <x:c r="A48" s="4" t="str">
        <x:v>OCE08</x:v>
      </x:c>
      <x:c r="B48" s="4" t="str">
        <x:v>Native client receives authenticated sea chunks</x:v>
      </x:c>
      <x:c r="C48" s="4" t="str">
        <x:v>One in flight; bounded receive; strict DTO; stale-session guard</x:v>
      </x:c>
      <x:c r="D48" s="4" t="str">
        <x:v>131-file plugin and 3 native tests pass; real Java/native HTTP passed</x:v>
      </x:c>
      <x:c r="E48" s="4" t="str">
        <x:v>Local transport verified; scene meshes, TLS/redirect audit and travel pending</x:v>
      </x:c>
      <x:c r="F48" s="2"/>
      <x:c r="G48" s="2"/>
      <x:c r="H48" s="2"/>
      <x:c r="I48" s="2"/>
      <x:c r="J48" s="2"/>
      <x:c r="K48" s="2"/>
      <x:c r="L48" s="2"/>
    </x:row>
    <x:row r="49" ht="88" customHeight="1">
      <x:c r="A49" s="4" t="str">
        <x:v>OCE09</x:v>
      </x:c>
      <x:c r="B49" s="4" t="str">
        <x:v>Server sea chunks become native scene geometry</x:v>
      </x:c>
      <x:c r="C49" s="4" t="str">
        <x:v>Canonical palette; neighbour remesh; local offsets; revisions preserved</x:v>
      </x:c>
      <x:c r="D49" s="4" t="str">
        <x:v>135-file plugin / 4 native / 719 core tests pass; real geometry HTTP proof</x:v>
      </x:c>
      <x:c r="E49" s="4" t="str">
        <x:v>Geometry verified; material appearance, rendered Play and realm travel pending</x:v>
      </x:c>
      <x:c r="F49" s="2"/>
      <x:c r="G49" s="2"/>
      <x:c r="H49" s="2"/>
      <x:c r="I49" s="2"/>
      <x:c r="J49" s="2"/>
      <x:c r="K49" s="2"/>
      <x:c r="L49" s="2"/>
    </x:row>
    <x:row r="50" ht="88" customHeight="1">
      <x:c r="A50" s="4" t="str">
        <x:v>OCE10</x:v>
      </x:c>
      <x:c r="B50" s="4" t="str">
        <x:v>Boat and submarine boarding at docks</x:v>
      </x:c>
      <x:c r="C50" s="4" t="str">
        <x:v>Original skiff, submarine and dock; waterline pivots and +X forward</x:v>
      </x:c>
      <x:c r="D50" s="4" t="str">
        <x:v>3 static exports validated; private Unreal harbor capture verified</x:v>
      </x:c>
      <x:c r="E50" s="4" t="str">
        <x:v>Boarding, hull collision and destination streaming acceptance pending</x:v>
      </x:c>
      <x:c r="F50" s="2"/>
      <x:c r="G50" s="2"/>
      <x:c r="H50" s="2"/>
      <x:c r="I50" s="2"/>
      <x:c r="J50" s="2"/>
      <x:c r="K50" s="2"/>
      <x:c r="L50" s="2"/>
    </x:row>
    <x:row r="51" ht="64" customHeight="1">
      <x:c r="A51" s="4" t="str">
        <x:v>OCE11</x:v>
      </x:c>
      <x:c r="B51" s="4" t="str">
        <x:v>Vessel body collision fits its art</x:v>
      </x:c>
      <x:c r="C51" s="4" t="str">
        <x:v>Bounded unoccupied authority configuration replicated to peers</x:v>
      </x:c>
      <x:c r="D51" s="4" t="str">
        <x:v>Native wall sweeps and two-process profile replication verified</x:v>
      </x:c>
      <x:c r="E51" s="4" t="str">
        <x:v>Rendered piloting, rotation clearance and dock travel pending</x:v>
      </x:c>
      <x:c r="F51" s="2"/>
      <x:c r="G51" s="2"/>
      <x:c r="H51" s="2"/>
      <x:c r="I51" s="2"/>
      <x:c r="J51" s="2"/>
      <x:c r="K51" s="2"/>
      <x:c r="L51" s="2"/>
    </x:row>
    <x:row r="52" ht="80" customHeight="1">
      <x:c r="A52" s="4" t="str">
        <x:v>OCE12</x:v>
      </x:c>
      <x:c r="B52" s="4" t="str">
        <x:v>Accept chunks only from exact requested URL</x:v>
      </x:c>
      <x:c r="C52" s="4" t="str">
        <x:v>Case-sensitive effective URL comparison before payload publication</x:v>
      </x:c>
      <x:c r="D52" s="4" t="str">
        <x:v>Direct accepted. Path, port and path-case redirects refused in actual UE.</x:v>
      </x:c>
      <x:c r="E52" s="4" t="str">
        <x:v>TLS, credential forwarding policy and live authenticated travel remain open.</x:v>
      </x:c>
      <x:c r="F52" s="2"/>
      <x:c r="G52" s="2"/>
      <x:c r="H52" s="2"/>
      <x:c r="I52" s="2"/>
      <x:c r="J52" s="2"/>
      <x:c r="K52" s="2"/>
      <x:c r="L52" s="2"/>
    </x:row>
    <x:row r="53" ht="80" customHeight="1">
      <x:c r="A53" s="4" t="str">
        <x:v>PORT11</x:v>
      </x:c>
      <x:c r="B53" s="4" t="str">
        <x:v>Each battle character uses its own skeleton clips</x:v>
      </x:c>
      <x:c r="C53" s="4" t="str">
        <x:v>Bounded folder-local discovery with compatible explicit overrides</x:v>
      </x:c>
      <x:c r="D53" s="4" t="str">
        <x:v>Two synthetic skeletons plus 13 actual imported Gallery casts verified</x:v>
      </x:c>
      <x:c r="E53" s="4" t="str">
        <x:v>Director wiring, idle return, playback, cooking and rendered battle still pending.</x:v>
      </x:c>
      <x:c r="F53" s="2"/>
      <x:c r="G53" s="2"/>
      <x:c r="H53" s="2"/>
      <x:c r="I53" s="2"/>
      <x:c r="J53" s="2"/>
      <x:c r="K53" s="2"/>
      <x:c r="L53" s="2"/>
    </x:row>
    <x:row r="54" ht="96" customHeight="1">
      <x:c r="A54" s="4" t="str">
        <x:v>SYS01</x:v>
      </x:c>
      <x:c r="B54" s="4" t="str">
        <x:v>Clients discover each realm data provider</x:v>
      </x:c>
      <x:c r="C54" s="4" t="str">
        <x:v>Storage IDs, canonical session/catalog bindings and same-origin routes without duplicating terrain</x:v>
      </x:c>
      <x:c r="D54" s="4" t="str">
        <x:v>Production JWT HTTP discovery to Ocean chunk read verified</x:v>
      </x:c>
      <x:c r="E54" s="4" t="str">
        <x:v>Player transfer, district routing, Unreal subscription and hosting still pending.</x:v>
      </x:c>
      <x:c r="F54" s="2"/>
      <x:c r="G54" s="2"/>
      <x:c r="H54" s="2"/>
      <x:c r="I54" s="2"/>
      <x:c r="J54" s="2"/>
      <x:c r="K54" s="2"/>
      <x:c r="L54" s="2"/>
    </x:row>
    <x:row r="55" ht="110" customHeight="1">
      <x:c r="A55" s="4" t="str">
        <x:v>SYS02</x:v>
      </x:c>
      <x:c r="B55" s="4" t="str">
        <x:v>Consistent land numbers in every realm</x:v>
      </x:c>
      <x:c r="C55" s="4" t="str">
        <x:v>100x100 spiral and 10x10 districts. Estate identity is independent of current position.</x:v>
      </x:c>
      <x:c r="D55" s="4" t="str">
        <x:v>All 10,000 cells and 40,000 estate candidates agree across languages.</x:v>
      </x:c>
      <x:c r="E55" s="4" t="str">
        <x:v>Grid addresses do not establish mintable supply or ownership.</x:v>
      </x:c>
      <x:c r="F55" s="2"/>
      <x:c r="G55" s="2"/>
      <x:c r="H55" s="2"/>
      <x:c r="I55" s="2"/>
      <x:c r="J55" s="2"/>
      <x:c r="K55" s="2"/>
      <x:c r="L55" s="2"/>
    </x:row>
    <x:row r="56" ht="110" customHeight="1">
      <x:c r="A56" s="4" t="str">
        <x:v>SYS03</x:v>
      </x:c>
      <x:c r="B56" s="4" t="str">
        <x:v>Estates can move while retaining identity</x:v>
      </x:c>
      <x:c r="C56" s="4" t="str">
        <x:v>Explicit hub reservation and overlap checks. Atomic local snapshots and revision conflicts.</x:v>
      </x:c>
      <x:c r="D56" s="4" t="str">
        <x:v>Restart and 10,000-estate persistence verified.</x:v>
      </x:c>
      <x:c r="E56" s="4" t="str">
        <x:v>Authorized move API, production backups and distributed authority remain pending.</x:v>
      </x:c>
      <x:c r="F56" s="2"/>
      <x:c r="G56" s="2"/>
      <x:c r="H56" s="2"/>
      <x:c r="I56" s="2"/>
      <x:c r="J56" s="2"/>
      <x:c r="K56" s="2"/>
      <x:c r="L56" s="2"/>
    </x:row>
    <x:row r="57" ht="110" customHeight="1">
      <x:c r="A57" s="4" t="str">
        <x:v>SYS04</x:v>
      </x:c>
      <x:c r="B57" s="4" t="str">
        <x:v>Load placed lands one district at a time</x:v>
      </x:c>
      <x:c r="C57" s="4" t="str">
        <x:v>JWT district API returns current cells, seed strings and layout revision.</x:v>
      </x:c>
      <x:c r="D57" s="4" t="str">
        <x:v>Actual HTTP restart and identity-preserving move verified.</x:v>
      </x:c>
      <x:c r="E57" s="4" t="str">
        <x:v>Unreal subscription, terrain generation and editor layout import remain pending.</x:v>
      </x:c>
      <x:c r="F57" s="2"/>
      <x:c r="G57" s="2"/>
      <x:c r="H57" s="2"/>
      <x:c r="I57" s="2"/>
      <x:c r="J57" s="2"/>
      <x:c r="K57" s="2"/>
      <x:c r="L57" s="2"/>
    </x:row>
    <x:row r="58" ht="90" customHeight="1">
      <x:c r="A58" s="4" t="str">
        <x:v>LAB11</x:v>
      </x:c>
      <x:c r="B58" s="4" t="str">
        <x:v>Walk a persistent starter maze</x:v>
      </x:c>
      <x:c r="C58" s="4" t="str">
        <x:v>31x31 logical cells. Three-metre passages, two open boundary entrances.</x:v>
      </x:c>
      <x:c r="D58" s="4" t="str">
        <x:v>Floor, headroom and all reachable corridor voxels checked for five seeds.</x:v>
      </x:c>
      <x:c r="E58" s="4" t="str">
        <x:v>Live collision and entry alignment pending. Existing art preserved.</x:v>
      </x:c>
      <x:c r="F58" s="2"/>
      <x:c r="G58" s="2"/>
      <x:c r="H58" s="2"/>
      <x:c r="I58" s="2"/>
      <x:c r="J58" s="2"/>
      <x:c r="K58" s="2"/>
      <x:c r="L58" s="2"/>
    </x:row>
    <x:row r="59" ht="90" customHeight="1">
      <x:c r="A59" s="4" t="str">
        <x:v>OCE13</x:v>
      </x:c>
      <x:c r="B59" s="4" t="str">
        <x:v>Browse Ocean inventory in shared tabs</x:v>
      </x:c>
      <x:c r="C59" s="4" t="str">
        <x:v>Navigation, Diving, Salvage, Vessel and Quests plus All. Navy, teal and brass theme.</x:v>
      </x:c>
      <x:c r="D59" s="4" t="str">
        <x:v>13 shared definitions, 48 native checks, Java/C++ parity and packaged authenticated reads.</x:v>
      </x:c>
      <x:c r="E59" s="4" t="str">
        <x:v>Live UI and authoritative item effects remain pending.</x:v>
      </x:c>
      <x:c r="F59" s="2"/>
      <x:c r="G59" s="2"/>
      <x:c r="H59" s="2"/>
      <x:c r="I59" s="2"/>
      <x:c r="J59" s="2"/>
      <x:c r="K59" s="2"/>
      <x:c r="L59" s="2"/>
    </x:row>
    <x:row r="60" ht="90" customHeight="1">
      <x:c r="A60" s="4" t="str">
        <x:v>OCE-ITEM-01</x:v>
      </x:c>
      <x:c r="B60" s="4" t="str">
        <x:v>Tide Compass</x:v>
      </x:c>
      <x:c r="C60" s="4" t="str">
        <x:v>NAVIGATION / TIDE_COMPASS</x:v>
      </x:c>
      <x:c r="D60" s="4" t="str">
        <x:v>INSPECT definition verified in shared catalog.</x:v>
      </x:c>
      <x:c r="E60" s="4" t="str">
        <x:v>Pickup, use, crafting and rewards pending; no grants from browsing.</x:v>
      </x:c>
      <x:c r="F60" s="2"/>
      <x:c r="G60" s="2"/>
      <x:c r="H60" s="2"/>
      <x:c r="I60" s="2"/>
      <x:c r="J60" s="2"/>
      <x:c r="K60" s="2"/>
      <x:c r="L60" s="2"/>
    </x:row>
    <x:row r="61" ht="90" customHeight="1">
      <x:c r="A61" s="4" t="str">
        <x:v>OCE-ITEM-02</x:v>
      </x:c>
      <x:c r="B61" s="4" t="str">
        <x:v>Dock Chart</x:v>
      </x:c>
      <x:c r="C61" s="4" t="str">
        <x:v>NAVIGATION / DOCK_CHART</x:v>
      </x:c>
      <x:c r="D61" s="4" t="str">
        <x:v>INSPECT definition verified in shared catalog.</x:v>
      </x:c>
      <x:c r="E61" s="4" t="str">
        <x:v>Pickup, use, crafting and rewards pending; no grants from browsing.</x:v>
      </x:c>
      <x:c r="F61" s="2"/>
      <x:c r="G61" s="2"/>
      <x:c r="H61" s="2"/>
      <x:c r="I61" s="2"/>
      <x:c r="J61" s="2"/>
      <x:c r="K61" s="2"/>
      <x:c r="L61" s="2"/>
    </x:row>
    <x:row r="62" ht="90" customHeight="1">
      <x:c r="A62" s="4" t="str">
        <x:v>OCE-ITEM-03</x:v>
      </x:c>
      <x:c r="B62" s="4" t="str">
        <x:v>Sonar Log</x:v>
      </x:c>
      <x:c r="C62" s="4" t="str">
        <x:v>NAVIGATION / SONAR_LOG</x:v>
      </x:c>
      <x:c r="D62" s="4" t="str">
        <x:v>INSPECT definition verified in shared catalog.</x:v>
      </x:c>
      <x:c r="E62" s="4" t="str">
        <x:v>Pickup, use, crafting and rewards pending; no grants from browsing.</x:v>
      </x:c>
      <x:c r="F62" s="2"/>
      <x:c r="G62" s="2"/>
      <x:c r="H62" s="2"/>
      <x:c r="I62" s="2"/>
      <x:c r="J62" s="2"/>
      <x:c r="K62" s="2"/>
      <x:c r="L62" s="2"/>
    </x:row>
    <x:row r="63" ht="90" customHeight="1">
      <x:c r="A63" s="4" t="str">
        <x:v>OCE-ITEM-04</x:v>
      </x:c>
      <x:c r="B63" s="4" t="str">
        <x:v>Dive Mask</x:v>
      </x:c>
      <x:c r="C63" s="4" t="str">
        <x:v>DIVING / DIVE_MASK</x:v>
      </x:c>
      <x:c r="D63" s="4" t="str">
        <x:v>INSPECT definition verified in shared catalog.</x:v>
      </x:c>
      <x:c r="E63" s="4" t="str">
        <x:v>Pickup, use, crafting and rewards pending; no grants from browsing.</x:v>
      </x:c>
      <x:c r="F63" s="2"/>
      <x:c r="G63" s="2"/>
      <x:c r="H63" s="2"/>
      <x:c r="I63" s="2"/>
      <x:c r="J63" s="2"/>
      <x:c r="K63" s="2"/>
      <x:c r="L63" s="2"/>
    </x:row>
    <x:row r="64" ht="90" customHeight="1">
      <x:c r="A64" s="4" t="str">
        <x:v>OCE-ITEM-05</x:v>
      </x:c>
      <x:c r="B64" s="4" t="str">
        <x:v>Air Canister</x:v>
      </x:c>
      <x:c r="C64" s="4" t="str">
        <x:v>DIVING / AIR_CANISTER</x:v>
      </x:c>
      <x:c r="D64" s="4" t="str">
        <x:v>INSPECT definition verified in shared catalog.</x:v>
      </x:c>
      <x:c r="E64" s="4" t="str">
        <x:v>Pickup, use, crafting and rewards pending; no grants from browsing.</x:v>
      </x:c>
      <x:c r="F64" s="2"/>
      <x:c r="G64" s="2"/>
      <x:c r="H64" s="2"/>
      <x:c r="I64" s="2"/>
      <x:c r="J64" s="2"/>
      <x:c r="K64" s="2"/>
      <x:c r="L64" s="2"/>
    </x:row>
    <x:row r="65" ht="90" customHeight="1">
      <x:c r="A65" s="4" t="str">
        <x:v>OCE-ITEM-06</x:v>
      </x:c>
      <x:c r="B65" s="4" t="str">
        <x:v>Dive Lantern</x:v>
      </x:c>
      <x:c r="C65" s="4" t="str">
        <x:v>DIVING / DIVE_LANTERN</x:v>
      </x:c>
      <x:c r="D65" s="4" t="str">
        <x:v>INSPECT definition verified in shared catalog.</x:v>
      </x:c>
      <x:c r="E65" s="4" t="str">
        <x:v>Pickup, use, crafting and rewards pending; no grants from browsing.</x:v>
      </x:c>
      <x:c r="F65" s="2"/>
      <x:c r="G65" s="2"/>
      <x:c r="H65" s="2"/>
      <x:c r="I65" s="2"/>
      <x:c r="J65" s="2"/>
      <x:c r="K65" s="2"/>
      <x:c r="L65" s="2"/>
    </x:row>
    <x:row r="66" ht="90" customHeight="1">
      <x:c r="A66" s="4" t="str">
        <x:v>OCE-ITEM-07</x:v>
      </x:c>
      <x:c r="B66" s="4" t="str">
        <x:v>Salvage Claw</x:v>
      </x:c>
      <x:c r="C66" s="4" t="str">
        <x:v>SALVAGE / SALVAGE_CLAW</x:v>
      </x:c>
      <x:c r="D66" s="4" t="str">
        <x:v>INSPECT definition verified in shared catalog.</x:v>
      </x:c>
      <x:c r="E66" s="4" t="str">
        <x:v>Pickup, use, crafting and rewards pending; no grants from browsing.</x:v>
      </x:c>
    </x:row>
    <x:row r="67" ht="90" customHeight="1">
      <x:c r="A67" s="4" t="str">
        <x:v>OCE-ITEM-08</x:v>
      </x:c>
      <x:c r="B67" s="4" t="str">
        <x:v>Sea Glass</x:v>
      </x:c>
      <x:c r="C67" s="4" t="str">
        <x:v>SALVAGE / SEA_GLASS</x:v>
      </x:c>
      <x:c r="D67" s="4" t="str">
        <x:v>INSPECT definition verified in shared catalog.</x:v>
      </x:c>
      <x:c r="E67" s="4" t="str">
        <x:v>Pickup, use, crafting and rewards pending; no grants from browsing.</x:v>
      </x:c>
    </x:row>
    <x:row r="68" ht="90" customHeight="1">
      <x:c r="A68" s="4" t="str">
        <x:v>OCE-ITEM-09</x:v>
      </x:c>
      <x:c r="B68" s="4" t="str">
        <x:v>Wreck Plate</x:v>
      </x:c>
      <x:c r="C68" s="4" t="str">
        <x:v>SALVAGE / WRECK_PLATE</x:v>
      </x:c>
      <x:c r="D68" s="4" t="str">
        <x:v>INSPECT definition verified in shared catalog.</x:v>
      </x:c>
      <x:c r="E68" s="4" t="str">
        <x:v>Pickup, use, crafting and rewards pending; no grants from browsing.</x:v>
      </x:c>
    </x:row>
    <x:row r="69" ht="90" customHeight="1">
      <x:c r="A69" s="4" t="str">
        <x:v>OCE-ITEM-10</x:v>
      </x:c>
      <x:c r="B69" s="4" t="str">
        <x:v>Hull Patch</x:v>
      </x:c>
      <x:c r="C69" s="4" t="str">
        <x:v>VESSEL / HULL_PATCH</x:v>
      </x:c>
      <x:c r="D69" s="4" t="str">
        <x:v>INSPECT definition verified in shared catalog.</x:v>
      </x:c>
      <x:c r="E69" s="4" t="str">
        <x:v>Pickup, use, crafting and rewards pending; no grants from browsing.</x:v>
      </x:c>
    </x:row>
    <x:row r="70" ht="90" customHeight="1">
      <x:c r="A70" s="4" t="str">
        <x:v>OCE-ITEM-11</x:v>
      </x:c>
      <x:c r="B70" s="4" t="str">
        <x:v>Mooring Line</x:v>
      </x:c>
      <x:c r="C70" s="4" t="str">
        <x:v>VESSEL / MOORING_LINE</x:v>
      </x:c>
      <x:c r="D70" s="4" t="str">
        <x:v>INSPECT definition verified in shared catalog.</x:v>
      </x:c>
      <x:c r="E70" s="4" t="str">
        <x:v>Pickup, use, crafting and rewards pending; no grants from browsing.</x:v>
      </x:c>
    </x:row>
    <x:row r="71" ht="90" customHeight="1">
      <x:c r="A71" s="4" t="str">
        <x:v>OCE-ITEM-12</x:v>
      </x:c>
      <x:c r="B71" s="4" t="str">
        <x:v>Beacon Lens</x:v>
      </x:c>
      <x:c r="C71" s="4" t="str">
        <x:v>QUESTS / BEACON_LENS</x:v>
      </x:c>
      <x:c r="D71" s="4" t="str">
        <x:v>INSPECT definition verified in shared catalog.</x:v>
      </x:c>
      <x:c r="E71" s="4" t="str">
        <x:v>Pickup, use, crafting and rewards pending; no grants from browsing.</x:v>
      </x:c>
    </x:row>
    <x:row r="72" ht="90" customHeight="1">
      <x:c r="A72" s="4" t="str">
        <x:v>OCE-ITEM-13</x:v>
      </x:c>
      <x:c r="B72" s="4" t="str">
        <x:v>Sealed Courier Case</x:v>
      </x:c>
      <x:c r="C72" s="4" t="str">
        <x:v>QUESTS / SEALED_COURIER_CASE</x:v>
      </x:c>
      <x:c r="D72" s="4" t="str">
        <x:v>INSPECT definition verified in shared catalog.</x:v>
      </x:c>
      <x:c r="E72" s="4" t="str">
        <x:v>Pickup, use, crafting and rewards pending; no grants from browsing.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8" hidden="0" customWidth="1"/>
    <x:col min="3" max="3" width="14" hidden="0" customWidth="1"/>
    <x:col min="4" max="4" width="14" hidden="0" customWidth="1"/>
    <x:col min="5" max="5" width="15" hidden="0" customWidth="1"/>
    <x:col min="6" max="6" width="35" hidden="0" customWidth="1"/>
    <x:col min="7" max="7" width="39" hidden="0" customWidth="1"/>
    <x:col min="8" max="8" width="45" hidden="0" customWidth="1"/>
  </x:cols>
  <x:sheetData>
    <x:row r="2">
      <x:c r="A2" s="26" t="str">
        <x:v>Runtime verification runs</x:v>
      </x:c>
    </x:row>
    <x:row r="4">
      <x:c r="A4" t="str">
        <x:v>Scoped evidence, not every Unreal action. Seconds cover the stated scope; no mixed-scope total.</x:v>
      </x:c>
    </x:row>
    <x:row r="5">
      <x:c r="A5" t="str">
        <x:v>Verified runs</x:v>
      </x:c>
      <x:c r="B5" t="n">
        <x:f>COUNTIF(D8:D63,"Verified")</x:f>
        <x:v>46</x:v>
      </x:c>
      <x:c r="D5" t="str">
        <x:v>Pending checks</x:v>
      </x:c>
      <x:c r="E5" t="n">
        <x:f>COUNTIF(D8:D63,"Pending")</x:f>
        <x:v>10</x:v>
      </x:c>
    </x:row>
    <x:row r="7">
      <x:c r="A7" s="28" t="str">
        <x:v>ID</x:v>
      </x:c>
      <x:c r="B7" s="28" t="str">
        <x:v>Behavior / run</x:v>
      </x:c>
      <x:c r="C7" s="28" t="str">
        <x:v>Realm</x:v>
      </x:c>
      <x:c r="D7" s="28" t="str">
        <x:v>State</x:v>
      </x:c>
      <x:c r="E7" s="28" t="str">
        <x:v>Seconds</x:v>
      </x:c>
      <x:c r="F7" s="28" t="str">
        <x:v>Measured scope</x:v>
      </x:c>
      <x:c r="G7" s="28" t="str">
        <x:v>Evidence in docs/production</x:v>
      </x:c>
      <x:c r="H7" s="28" t="str">
        <x:v>Limit / remaining work</x:v>
      </x:c>
    </x:row>
    <x:row r="8" ht="58" customHeight="1">
      <x:c r="A8" s="1" t="str">
        <x:v>BUILD</x:v>
      </x:c>
      <x:c r="B8" s="5" t="str">
        <x:v>Complete plugin reflection/compile/link</x:v>
      </x:c>
      <x:c r="C8" s="5" t="str">
        <x:v>Ocean</x:v>
      </x:c>
      <x:c r="D8" s="30" t="str">
        <x:v>Verified</x:v>
      </x:c>
      <x:c r="E8" s="29" t="n">
        <x:v>187.98</x:v>
      </x:c>
      <x:c r="F8" s="5" t="str">
        <x:v>44 build actions; full process</x:v>
      </x:c>
      <x:c r="G8" s="5" t="str">
        <x:v>ocean-owned-build-proof.json</x:v>
      </x:c>
      <x:c r="H8" s="5" t="str">
        <x:v>Compilation is not shipped gameplay</x:v>
      </x:c>
    </x:row>
    <x:row r="9" ht="58" customHeight="1">
      <x:c r="A9" s="1" t="str">
        <x:v>HERO</x:v>
      </x:c>
      <x:c r="B9" s="5" t="str">
        <x:v>Daedalus.Ocean.HeroDockInteraction</x:v>
      </x:c>
      <x:c r="C9" s="5" t="str">
        <x:v>Ocean</x:v>
      </x:c>
      <x:c r="D9" s="30" t="str">
        <x:v>Verified</x:v>
      </x:c>
      <x:c r="E9" s="29" t="n">
        <x:v>0.011751800775527954</x:v>
      </x:c>
      <x:c r="F9" s="5" t="str">
        <x:v>Automation test body; excludes engine startup</x:v>
      </x:c>
      <x:c r="G9" s="5" t="str">
        <x:v>ocean-owned-runtime-proof.json</x:v>
      </x:c>
      <x:c r="H9" s="5" t="str">
        <x:v>Headless function path, not physical device input</x:v>
      </x:c>
    </x:row>
    <x:row r="10" ht="58" customHeight="1">
      <x:c r="A10" s="1" t="str">
        <x:v>NATIVE</x:v>
      </x:c>
      <x:c r="B10" s="5" t="str">
        <x:v>Daedalus.Ocean.HostEligibility</x:v>
      </x:c>
      <x:c r="C10" s="5" t="str">
        <x:v>Ocean</x:v>
      </x:c>
      <x:c r="D10" s="30" t="str">
        <x:v>Verified</x:v>
      </x:c>
      <x:c r="E10" s="29" t="n">
        <x:v>0.016099803149700165</x:v>
      </x:c>
      <x:c r="F10" s="5" t="str">
        <x:v>Automation test body; excludes engine startup</x:v>
      </x:c>
      <x:c r="G10" s="5" t="str">
        <x:v>ocean-owned-runtime-proof.json</x:v>
      </x:c>
      <x:c r="H10" s="5" t="str">
        <x:v>Headless function path, not physical device input</x:v>
      </x:c>
    </x:row>
    <x:row r="11" ht="58" customHeight="1">
      <x:c r="A11" s="1" t="str">
        <x:v>BOARD-boat</x:v>
      </x:c>
      <x:c r="B11" s="5" t="str">
        <x:v>Remote Hero interaction boards vessel — boat</x:v>
      </x:c>
      <x:c r="C11" s="5" t="str">
        <x:v>Ocean</x:v>
      </x:c>
      <x:c r="D11" s="30" t="str">
        <x:v>Verified</x:v>
      </x:c>
      <x:c r="E11" s="29" t="n">
        <x:v>17.625</x:v>
      </x:c>
      <x:c r="F11" s="5" t="str">
        <x:v>Server/client startup, handshake and scenario</x:v>
      </x:c>
      <x:c r="G11" s="5" t="str">
        <x:v>ocean-owned-network-proof.json</x:v>
      </x:c>
      <x:c r="H11" s="5" t="str">
        <x:v>No physical E/X dispatch or realm transfer</x:v>
      </x:c>
    </x:row>
    <x:row r="12" ht="58" customHeight="1">
      <x:c r="A12" s="1" t="str">
        <x:v>BOARD-submarine</x:v>
      </x:c>
      <x:c r="B12" s="5" t="str">
        <x:v>Remote Hero interaction boards vessel — submarine</x:v>
      </x:c>
      <x:c r="C12" s="5" t="str">
        <x:v>Ocean</x:v>
      </x:c>
      <x:c r="D12" s="30" t="str">
        <x:v>Verified</x:v>
      </x:c>
      <x:c r="E12" s="29" t="n">
        <x:v>17.61</x:v>
      </x:c>
      <x:c r="F12" s="5" t="str">
        <x:v>Server/client startup, handshake and scenario</x:v>
      </x:c>
      <x:c r="G12" s="5" t="str">
        <x:v>ocean-owned-network-proof.json</x:v>
      </x:c>
      <x:c r="H12" s="5" t="str">
        <x:v>No physical E/X dispatch or realm transfer</x:v>
      </x:c>
    </x:row>
    <x:row r="13" ht="58" customHeight="1">
      <x:c r="A13" s="1" t="str">
        <x:v>KEY-boat</x:v>
      </x:c>
      <x:c r="B13" s="5" t="str">
        <x:v>Keyboard event propulsion — boat</x:v>
      </x:c>
      <x:c r="C13" s="5" t="str">
        <x:v>Ocean</x:v>
      </x:c>
      <x:c r="D13" s="30" t="str">
        <x:v>Verified</x:v>
      </x:c>
      <x:c r="E13" s="29" t="n">
        <x:v>24.172</x:v>
      </x:c>
      <x:c r="F13" s="5" t="str">
        <x:v>Server/client startup, handshake and scenario</x:v>
      </x:c>
      <x:c r="G13" s="5" t="str">
        <x:v>ocean-keyboard-network-proof.json</x:v>
      </x:c>
      <x:c r="H13" s="5" t="str">
        <x:v>Engine events; no physical hardware or rendered acceptance</x:v>
      </x:c>
    </x:row>
    <x:row r="14" ht="58" customHeight="1">
      <x:c r="A14" s="1" t="str">
        <x:v>KEY-submarine</x:v>
      </x:c>
      <x:c r="B14" s="5" t="str">
        <x:v>Keyboard event propulsion/dive — submarine</x:v>
      </x:c>
      <x:c r="C14" s="5" t="str">
        <x:v>Ocean</x:v>
      </x:c>
      <x:c r="D14" s="30" t="str">
        <x:v>Verified</x:v>
      </x:c>
      <x:c r="E14" s="29" t="n">
        <x:v>24.187</x:v>
      </x:c>
      <x:c r="F14" s="5" t="str">
        <x:v>Server/client startup, handshake and scenario</x:v>
      </x:c>
      <x:c r="G14" s="5" t="str">
        <x:v>ocean-keyboard-network-proof.json</x:v>
      </x:c>
      <x:c r="H14" s="5" t="str">
        <x:v>Engine events; no physical hardware or rendered acceptance</x:v>
      </x:c>
    </x:row>
    <x:row r="15" ht="58" customHeight="1">
      <x:c r="A15" s="1" t="str">
        <x:v>PAD-boat</x:v>
      </x:c>
      <x:c r="B15" s="5" t="str">
        <x:v>Analog event propulsion — boat</x:v>
      </x:c>
      <x:c r="C15" s="5" t="str">
        <x:v>Ocean</x:v>
      </x:c>
      <x:c r="D15" s="30" t="str">
        <x:v>Verified</x:v>
      </x:c>
      <x:c r="E15" s="29" t="n">
        <x:v>23.656</x:v>
      </x:c>
      <x:c r="F15" s="5" t="str">
        <x:v>Server/client startup, handshake and scenario</x:v>
      </x:c>
      <x:c r="G15" s="5" t="str">
        <x:v>ocean-gamepad-network-proof.json</x:v>
      </x:c>
      <x:c r="H15" s="5" t="str">
        <x:v>Engine events; no physical hardware or rendered acceptance</x:v>
      </x:c>
    </x:row>
    <x:row r="16" ht="58" customHeight="1">
      <x:c r="A16" s="1" t="str">
        <x:v>PAD-submarine</x:v>
      </x:c>
      <x:c r="B16" s="5" t="str">
        <x:v>Analog event propulsion/dive — submarine</x:v>
      </x:c>
      <x:c r="C16" s="5" t="str">
        <x:v>Ocean</x:v>
      </x:c>
      <x:c r="D16" s="30" t="str">
        <x:v>Verified</x:v>
      </x:c>
      <x:c r="E16" s="29" t="n">
        <x:v>24.406</x:v>
      </x:c>
      <x:c r="F16" s="5" t="str">
        <x:v>Server/client startup, handshake and scenario</x:v>
      </x:c>
      <x:c r="G16" s="5" t="str">
        <x:v>ocean-gamepad-network-proof.json</x:v>
      </x:c>
      <x:c r="H16" s="5" t="str">
        <x:v>Engine events; no physical hardware or rendered acceptance</x:v>
      </x:c>
    </x:row>
    <x:row r="17" ht="58" customHeight="1">
      <x:c r="A17" s="1" t="str">
        <x:v>HW</x:v>
      </x:c>
      <x:c r="B17" s="5" t="str">
        <x:v>Physical Interact/controller hardware</x:v>
      </x:c>
      <x:c r="C17" s="5" t="str">
        <x:v>Ocean</x:v>
      </x:c>
      <x:c r="D17" s="31" t="str">
        <x:v>Pending</x:v>
      </x:c>
      <x:c r="E17" s="29"/>
      <x:c r="F17" s="5" t="str">
        <x:v>Not measured</x:v>
      </x:c>
      <x:c r="G17" s="5"/>
      <x:c r="H17" s="5" t="str">
        <x:v>Requires actual device/viewport run</x:v>
      </x:c>
    </x:row>
    <x:row r="18" ht="70" customHeight="1">
      <x:c r="A18" s="1" t="str">
        <x:v>EXIT-boat</x:v>
      </x:c>
      <x:c r="B18" s="5" t="str">
        <x:v>Remote boat boarding and E-key exit</x:v>
      </x:c>
      <x:c r="C18" s="5" t="str">
        <x:v>Ocean</x:v>
      </x:c>
      <x:c r="D18" s="33" t="str">
        <x:v>Verified</x:v>
      </x:c>
      <x:c r="E18" s="29" t="n">
        <x:v>18.359</x:v>
      </x:c>
      <x:c r="F18" s="5" t="str">
        <x:v>Startup, handshake and round trip</x:v>
      </x:c>
      <x:c r="G18" s="5" t="str">
        <x:v>ocean-exit-network-proof.json</x:v>
      </x:c>
      <x:c r="H18" s="5" t="str">
        <x:v>Engine key event; physical device, art and realm loading pending</x:v>
      </x:c>
    </x:row>
    <x:row r="19" ht="58" customHeight="1">
      <x:c r="A19" s="1" t="str">
        <x:v>REALM</x:v>
      </x:c>
      <x:c r="B19" s="5" t="str">
        <x:v>Portal ↔ Ocean / underwater realm transfer</x:v>
      </x:c>
      <x:c r="C19" s="5" t="str">
        <x:v>Ocean</x:v>
      </x:c>
      <x:c r="D19" s="31" t="str">
        <x:v>Pending</x:v>
      </x:c>
      <x:c r="E19" s="29"/>
      <x:c r="F19" s="5" t="str">
        <x:v>Not measured</x:v>
      </x:c>
      <x:c r="G19" s="5"/>
      <x:c r="H19" s="5" t="str">
        <x:v>Loader, anchors and persistent session integration</x:v>
      </x:c>
    </x:row>
    <x:row r="20" ht="58" customHeight="1">
      <x:c r="A20" s="1" t="str">
        <x:v>ART</x:v>
      </x:c>
      <x:c r="B20" s="5" t="str">
        <x:v>Live vessel/dock art and camera composition</x:v>
      </x:c>
      <x:c r="C20" s="5" t="str">
        <x:v>Ocean</x:v>
      </x:c>
      <x:c r="D20" s="31" t="str">
        <x:v>Pending</x:v>
      </x:c>
      <x:c r="E20" s="29"/>
      <x:c r="F20" s="5" t="str">
        <x:v>Not measured</x:v>
      </x:c>
      <x:c r="G20" s="5"/>
      <x:c r="H20" s="5" t="str">
        <x:v>Export/model assignment is not live acceptance</x:v>
      </x:c>
    </x:row>
    <x:row r="21" ht="58" customHeight="1">
      <x:c r="A21" s="1" t="str">
        <x:v>AUTH</x:v>
      </x:c>
      <x:c r="B21" s="5" t="str">
        <x:v>Production login and travel permissions</x:v>
      </x:c>
      <x:c r="C21" s="5" t="str">
        <x:v>Ocean</x:v>
      </x:c>
      <x:c r="D21" s="31" t="str">
        <x:v>Pending</x:v>
      </x:c>
      <x:c r="E21" s="29"/>
      <x:c r="F21" s="5" t="str">
        <x:v>Not measured</x:v>
      </x:c>
      <x:c r="G21" s="5"/>
      <x:c r="H21" s="5" t="str">
        <x:v>Test fixtures do not prove real account policy</x:v>
      </x:c>
    </x:row>
    <x:row r="22" ht="58" customHeight="1">
      <x:c r="A22" s="1" t="str">
        <x:v>HOST</x:v>
      </x:c>
      <x:c r="B22" s="5" t="str">
        <x:v>Public hosting, restart and recovery</x:v>
      </x:c>
      <x:c r="C22" s="5" t="str">
        <x:v>Ocean</x:v>
      </x:c>
      <x:c r="D22" s="31" t="str">
        <x:v>Pending</x:v>
      </x:c>
      <x:c r="E22" s="29"/>
      <x:c r="F22" s="5" t="str">
        <x:v>Not measured</x:v>
      </x:c>
      <x:c r="G22" s="5"/>
      <x:c r="H22" s="5" t="str">
        <x:v>Requires deployment and end-to-end verification</x:v>
      </x:c>
    </x:row>
    <x:row r="23" ht="70" customHeight="1">
      <x:c r="A23" s="1" t="str">
        <x:v>EXIT-submarine</x:v>
      </x:c>
      <x:c r="B23" s="5" t="str">
        <x:v>Remote submarine boarding and E-key exit</x:v>
      </x:c>
      <x:c r="C23" s="5" t="str">
        <x:v>Ocean</x:v>
      </x:c>
      <x:c r="D23" s="33" t="str">
        <x:v>Verified</x:v>
      </x:c>
      <x:c r="E23" s="29" t="n">
        <x:v>18.375</x:v>
      </x:c>
      <x:c r="F23" s="5" t="str">
        <x:v>Startup, handshake and round trip</x:v>
      </x:c>
      <x:c r="G23" s="5" t="str">
        <x:v>ocean-exit-network-proof.json</x:v>
      </x:c>
      <x:c r="H23" s="5" t="str">
        <x:v>Engine key event; physical device, art and realm loading pending</x:v>
      </x:c>
    </x:row>
    <x:row r="24" ht="88" customHeight="1">
      <x:c r="A24" s="5" t="str">
        <x:v>BUILD-CLIENT</x:v>
      </x:c>
      <x:c r="B24" s="5" t="str">
        <x:v>Complete 131-file plugin build</x:v>
      </x:c>
      <x:c r="C24" s="5" t="str">
        <x:v>Ocean</x:v>
      </x:c>
      <x:c r="D24" s="35" t="str">
        <x:v>Verified</x:v>
      </x:c>
      <x:c r="E24" s="29" t="n">
        <x:v>193.26</x:v>
      </x:c>
      <x:c r="F24" s="5" t="str">
        <x:v>46 build/link actions; full process</x:v>
      </x:c>
      <x:c r="G24" s="5" t="str">
        <x:v>ocean-client-build-proof.json</x:v>
      </x:c>
      <x:c r="H24" s="5" t="str">
        <x:v>Fresh base plus separately recorded lifecycle rebuild</x:v>
      </x:c>
    </x:row>
    <x:row r="25" ht="88" customHeight="1">
      <x:c r="A25" s="5" t="str">
        <x:v>LIFECYCLE</x:v>
      </x:c>
      <x:c r="B25" s="5" t="str">
        <x:v>Final EndPlay session-cancellation rebuild</x:v>
      </x:c>
      <x:c r="C25" s="5" t="str">
        <x:v>Ocean</x:v>
      </x:c>
      <x:c r="D25" s="35" t="str">
        <x:v>Verified</x:v>
      </x:c>
      <x:c r="E25" s="29" t="n">
        <x:v>12.4</x:v>
      </x:c>
      <x:c r="F25" s="5" t="str">
        <x:v>5 incremental compile/link actions</x:v>
      </x:c>
      <x:c r="G25" s="5" t="str">
        <x:v>ocean-client-build-proof.json</x:v>
      </x:c>
      <x:c r="H25" s="5" t="str">
        <x:v>All final production input hashes verified</x:v>
      </x:c>
    </x:row>
    <x:row r="26" ht="88" customHeight="1">
      <x:c r="A26" s="5" t="str">
        <x:v>DECODE</x:v>
      </x:c>
      <x:c r="B26" s="5" t="str">
        <x:v>Daedalus.Ocean.HostChunkDecoder</x:v>
      </x:c>
      <x:c r="C26" s="5" t="str">
        <x:v>Ocean</x:v>
      </x:c>
      <x:c r="D26" s="35" t="str">
        <x:v>Verified</x:v>
      </x:c>
      <x:c r="E26" s="29" t="n">
        <x:v>0.009295500814914703</x:v>
      </x:c>
      <x:c r="F26" s="5" t="str">
        <x:v>Native test body; excludes engine startup</x:v>
      </x:c>
      <x:c r="G26" s="5" t="str">
        <x:v>ocean-client-runtime-proof.json</x:v>
      </x:c>
      <x:c r="H26" s="5" t="str">
        <x:v>Headless DTO/session validation</x:v>
      </x:c>
    </x:row>
    <x:row r="27" ht="88" customHeight="1">
      <x:c r="A27" s="5" t="str">
        <x:v>HTTP-CLIENT</x:v>
      </x:c>
      <x:c r="B27" s="5" t="str">
        <x:v>Packaged Java to native Ocean client</x:v>
      </x:c>
      <x:c r="C27" s="5" t="str">
        <x:v>Ocean</x:v>
      </x:c>
      <x:c r="D27" s="35" t="str">
        <x:v>Verified</x:v>
      </x:c>
      <x:c r="E27" s="29" t="n">
        <x:v>21.188</x:v>
      </x:c>
      <x:c r="F27" s="5" t="str">
        <x:v>Java server startup plus native engine startup and HTTP scenario</x:v>
      </x:c>
      <x:c r="G27" s="5" t="str">
        <x:v>ocean-client-http-proof.json</x:v>
      </x:c>
      <x:c r="H27" s="5" t="str">
        <x:v>TLS/redirect, rendered gameplay and realm transfer pending</x:v>
      </x:c>
    </x:row>
    <x:row r="28" ht="88" customHeight="1">
      <x:c r="A28" s="5" t="str">
        <x:v>BUILD-VIEW</x:v>
      </x:c>
      <x:c r="B28" s="5" t="str">
        <x:v>Complete 135-file plugin build</x:v>
      </x:c>
      <x:c r="C28" s="5" t="str">
        <x:v>Ocean</x:v>
      </x:c>
      <x:c r="D28" s="36" t="str">
        <x:v>Verified</x:v>
      </x:c>
      <x:c r="E28" s="29" t="n">
        <x:v>202.42</x:v>
      </x:c>
      <x:c r="F28" s="5" t="str">
        <x:v>48 build/link actions; full process</x:v>
      </x:c>
      <x:c r="G28" s="5" t="str">
        <x:v>ocean-view-build-proof.json</x:v>
      </x:c>
      <x:c r="H28" s="5" t="str">
        <x:v>Full source hashes and production DLL recorded</x:v>
      </x:c>
    </x:row>
    <x:row r="29" ht="88" customHeight="1">
      <x:c r="A29" s="5" t="str">
        <x:v>GEOMETRY</x:v>
      </x:c>
      <x:c r="B29" s="5" t="str">
        <x:v>Daedalus.Ocean.SectorGeometry</x:v>
      </x:c>
      <x:c r="C29" s="5" t="str">
        <x:v>Ocean</x:v>
      </x:c>
      <x:c r="D29" s="36" t="str">
        <x:v>Verified</x:v>
      </x:c>
      <x:c r="E29" s="29" t="n">
        <x:v>0.011793497949838638</x:v>
      </x:c>
      <x:c r="F29" s="5" t="str">
        <x:v>Native test body; excludes engine startup</x:v>
      </x:c>
      <x:c r="G29" s="5" t="str">
        <x:v>ocean-view-runtime-proof.json</x:v>
      </x:c>
      <x:c r="H29" s="5" t="str">
        <x:v>Seams/capacity/revisions/collision flags; no rendered acceptance</x:v>
      </x:c>
    </x:row>
    <x:row r="30" ht="88" customHeight="1">
      <x:c r="A30" s="5" t="str">
        <x:v>HTTP-VIEW</x:v>
      </x:c>
      <x:c r="B30" s="5" t="str">
        <x:v>Java saved terrain to native procedural mesh</x:v>
      </x:c>
      <x:c r="C30" s="5" t="str">
        <x:v>Ocean</x:v>
      </x:c>
      <x:c r="D30" s="36" t="str">
        <x:v>Verified</x:v>
      </x:c>
      <x:c r="E30" s="29" t="n">
        <x:v>20.766</x:v>
      </x:c>
      <x:c r="F30" s="5" t="str">
        <x:v>Java server startup plus native engine startup and HTTP scenario</x:v>
      </x:c>
      <x:c r="G30" s="5" t="str">
        <x:v>ocean-view-http-proof.json</x:v>
      </x:c>
      <x:c r="H30" s="5" t="str">
        <x:v>Clear revision removes old mesh; appearance/travel pending</x:v>
      </x:c>
    </x:row>
    <x:row r="31" ht="88" customHeight="1">
      <x:c r="A31" s="5" t="str">
        <x:v>HARBOR-RENDER</x:v>
      </x:c>
      <x:c r="B31" s="5" t="str">
        <x:v>Private Ocean harbor inspection</x:v>
      </x:c>
      <x:c r="C31" s="5" t="str">
        <x:v>Ocean</x:v>
      </x:c>
      <x:c r="D31" s="30" t="str">
        <x:v>Verified</x:v>
      </x:c>
      <x:c r="E31" s="29" t="n">
        <x:v>34.656</x:v>
      </x:c>
      <x:c r="F31" s="5" t="str">
        <x:v>Java server startup plus native engine startup and HTTP scenario</x:v>
      </x:c>
      <x:c r="G31" s="5" t="str">
        <x:v>ocean-scene-http-proof.json</x:v>
      </x:c>
      <x:c r="H31" s="5" t="str">
        <x:v>64 chunks and 3 props rendered; controls and realm transfer pending</x:v>
      </x:c>
    </x:row>
    <x:row r="32" ht="64" customHeight="1">
      <x:c r="A32" s="4" t="str">
        <x:v>BUILD-HULL</x:v>
      </x:c>
      <x:c r="B32" s="4" t="str">
        <x:v>Full plugin with configurable hulls</x:v>
      </x:c>
      <x:c r="C32" s="4" t="str">
        <x:v>Ocean</x:v>
      </x:c>
      <x:c r="D32" s="37" t="str">
        <x:v>Verified</x:v>
      </x:c>
      <x:c r="E32" s="38" t="n">
        <x:v>210.96</x:v>
      </x:c>
      <x:c r="F32" s="4" t="str">
        <x:v>Full 136-file source snapshot</x:v>
      </x:c>
      <x:c r="G32" s="4" t="str">
        <x:v>ocean-hull-profile-build-proof.json</x:v>
      </x:c>
      <x:c r="H32" s="4" t="str">
        <x:v>No shared editor or fixture overlay in production build</x:v>
      </x:c>
    </x:row>
    <x:row r="33" ht="64" customHeight="1">
      <x:c r="A33" s="4" t="str">
        <x:v>HULL-PROFILE</x:v>
      </x:c>
      <x:c r="B33" s="4" t="str">
        <x:v>Daedalus.Ocean.HullProfile</x:v>
      </x:c>
      <x:c r="C33" s="4" t="str">
        <x:v>Ocean</x:v>
      </x:c>
      <x:c r="D33" s="37" t="str">
        <x:v>Verified</x:v>
      </x:c>
      <x:c r="E33" s="38" t="n">
        <x:v>0.014085199683904648</x:v>
      </x:c>
      <x:c r="F33" s="4" t="str">
        <x:v>Native test body; excludes startup</x:v>
      </x:c>
      <x:c r="G33" s="4" t="str">
        <x:v>ocean-hull-profile-runtime-proof.json</x:v>
      </x:c>
      <x:c r="H33" s="4" t="str">
        <x:v>Bounds, overlap, occupied refusal and real wall sweeps</x:v>
      </x:c>
    </x:row>
    <x:row r="34" ht="64" customHeight="1">
      <x:c r="A34" s="4" t="str">
        <x:v>HULL-NET</x:v>
      </x:c>
      <x:c r="B34" s="4" t="str">
        <x:v>Replicated boat and submarine body dimensions</x:v>
      </x:c>
      <x:c r="C34" s="4" t="str">
        <x:v>Ocean</x:v>
      </x:c>
      <x:c r="D34" s="37" t="str">
        <x:v>Verified</x:v>
      </x:c>
      <x:c r="E34" s="38" t="n">
        <x:v>47.797</x:v>
      </x:c>
      <x:c r="F34" s="4" t="str">
        <x:v>Sum of two separate server/client scenarios</x:v>
      </x:c>
      <x:c r="G34" s="4" t="str">
        <x:v>ocean-hull-profile-network-proof.json</x:v>
      </x:c>
      <x:c r="H34" s="4" t="str">
        <x:v>Both client colliders match; client resize refused; rendered travel pending</x:v>
      </x:c>
    </x:row>
    <x:row r="35" ht="80" customHeight="1">
      <x:c r="A35" s="4" t="str">
        <x:v>BUILD-URL</x:v>
      </x:c>
      <x:c r="B35" s="4" t="str">
        <x:v>Full plugin with effective URL check</x:v>
      </x:c>
      <x:c r="C35" s="4" t="str">
        <x:v>Ocean</x:v>
      </x:c>
      <x:c r="D35" s="37" t="str">
        <x:v>Verified</x:v>
      </x:c>
      <x:c r="E35" s="38" t="n">
        <x:v>220.56</x:v>
      </x:c>
      <x:c r="F35" s="4" t="str">
        <x:v>148-file production snapshot dab439d6</x:v>
      </x:c>
      <x:c r="G35" s="4" t="str">
        <x:v>ocean-effective-url-build-proof.json</x:v>
      </x:c>
      <x:c r="H35" s="4" t="str">
        <x:v>Five native Ocean tests passed. Later main metadata fixes are outside this snapshot.</x:v>
      </x:c>
    </x:row>
    <x:row r="36" ht="80" customHeight="1">
      <x:c r="A36" s="4" t="str">
        <x:v>HTTP-URL</x:v>
      </x:c>
      <x:c r="B36" s="4" t="str">
        <x:v>Direct response and three redirect refusals</x:v>
      </x:c>
      <x:c r="C36" s="4" t="str">
        <x:v>Ocean</x:v>
      </x:c>
      <x:c r="D36" s="37" t="str">
        <x:v>Verified</x:v>
      </x:c>
      <x:c r="E36" s="38" t="n">
        <x:v>38.407000000000004</x:v>
      </x:c>
      <x:c r="F36" s="4" t="str">
        <x:v>Four sequential UE loopback processes</x:v>
      </x:c>
      <x:c r="G36" s="4" t="str">
        <x:v>ocean-effective-url-redirect-proof.json</x:v>
      </x:c>
      <x:c r="H36" s="4" t="str">
        <x:v>Fixture build 261.13s. Same-origin credential forwarded. TLS and pre-forward prevention unproven.</x:v>
      </x:c>
    </x:row>
    <x:row r="37" ht="80" customHeight="1">
      <x:c r="A37" s="4" t="str">
        <x:v>BUILD-CAST</x:v>
      </x:c>
      <x:c r="B37" s="4" t="str">
        <x:v>Full plugin with per-mesh battle clips</x:v>
      </x:c>
      <x:c r="C37" s="4" t="str">
        <x:v>All casts</x:v>
      </x:c>
      <x:c r="D37" s="37" t="str">
        <x:v>Verified</x:v>
      </x:c>
      <x:c r="E37" s="38" t="n">
        <x:v>242.56</x:v>
      </x:c>
      <x:c r="F37" s="4" t="str">
        <x:v>159-file snapshot 36adcecc</x:v>
      </x:c>
      <x:c r="G37" s="4" t="str">
        <x:v>battle-cast-animation-proof.json</x:v>
      </x:c>
      <x:c r="H37" s="4" t="str">
        <x:v>Later Java cabinets and main fixes are outside this build snapshot.</x:v>
      </x:c>
    </x:row>
    <x:row r="38" ht="80" customHeight="1">
      <x:c r="A38" s="4" t="str">
        <x:v>CAST-CLIPS</x:v>
      </x:c>
      <x:c r="B38" s="4" t="str">
        <x:v>Daedalus.Battle.CastAnimations</x:v>
      </x:c>
      <x:c r="C38" s="4" t="str">
        <x:v>All casts</x:v>
      </x:c>
      <x:c r="D38" s="37" t="str">
        <x:v>Verified</x:v>
      </x:c>
      <x:c r="E38" s="38" t="n">
        <x:v>0.02282389998435974</x:v>
      </x:c>
      <x:c r="F38" s="4" t="str">
        <x:v>Native synthetic two-skeleton test body</x:v>
      </x:c>
      <x:c r="G38" s="4" t="str">
        <x:v>battle-cast-animation-proof.json</x:v>
      </x:c>
      <x:c r="H38" s="4" t="str">
        <x:v>Concatenated import names. Test errors/warnings 0/0; editor 0/1 (layout notice).</x:v>
      </x:c>
    </x:row>
    <x:row r="39" ht="80" customHeight="1">
      <x:c r="A39" s="4" t="str">
        <x:v>CAST-IMPORT</x:v>
      </x:c>
      <x:c r="B39" s="4" t="str">
        <x:v>13 Gallery meshes and 26 attack/hurt bindings</x:v>
      </x:c>
      <x:c r="C39" s="4" t="str">
        <x:v>Gallery</x:v>
      </x:c>
      <x:c r="D39" s="37" t="str">
        <x:v>Verified</x:v>
      </x:c>
      <x:c r="E39" s="38" t="n">
        <x:v>0.68</x:v>
      </x:c>
      <x:c r="F39" s="4" t="str">
        <x:v>Commandlet body only, excludes startup</x:v>
      </x:c>
      <x:c r="G39" s="4" t="str">
        <x:v>battle-cast-imported-proof.json</x:v>
      </x:c>
      <x:c r="H39" s="4" t="str">
        <x:v>152 copied art hashes intact. Editor errors/warnings 0/0. Playback/rendering still pending.</x:v>
      </x:c>
    </x:row>
    <x:row r="40" ht="96" customHeight="1">
      <x:c r="A40" s="4" t="str">
        <x:v>REALM-DIR</x:v>
      </x:c>
      <x:c r="B40" s="4" t="str">
        <x:v>Authenticated provider discovery and advertised Ocean read</x:v>
      </x:c>
      <x:c r="C40" s="4" t="str">
        <x:v>WorldHub + Ocean</x:v>
      </x:c>
      <x:c r="D40" s="37" t="str">
        <x:v>Verified</x:v>
      </x:c>
      <x:c r="E40" s="38" t="n">
        <x:v>179</x:v>
      </x:c>
      <x:c r="F40" s="4" t="str">
        <x:v>Full server reactor verify. 719 core / 799 server tests.</x:v>
      </x:c>
      <x:c r="G40" s="4" t="str">
        <x:v>realm-directory-proof.json</x:v>
      </x:c>
      <x:c r="H40" s="4" t="str">
        <x:v>13 focused checks also pass in 46.273s. No travel, Unreal loading or hosting claim.</x:v>
      </x:c>
    </x:row>
    <x:row r="41" ht="110" customHeight="1">
      <x:c r="A41" s="4" t="str">
        <x:v>LAND-GRID</x:v>
      </x:c>
      <x:c r="B41" s="4" t="str">
        <x:v>Shared Java, native and Python plot addressing</x:v>
      </x:c>
      <x:c r="C41" s="4" t="str">
        <x:v>All realms</x:v>
      </x:c>
      <x:c r="D41" s="37" t="str">
        <x:v>Verified</x:v>
      </x:c>
      <x:c r="E41" s="38" t="n">
        <x:v>46.197</x:v>
      </x:c>
      <x:c r="F41" s="4" t="str">
        <x:v>723 core tests. 10,000 cell and 40,000 estate parity rows.</x:v>
      </x:c>
      <x:c r="G41" s="4" t="str">
        <x:v>land-grid-parity-proof.json</x:v>
      </x:c>
      <x:c r="H41" s="4" t="str">
        <x:v>Addressing only. Native gcc/clang CI checks Python against the Java-tested digest.</x:v>
      </x:c>
    </x:row>
    <x:row r="42" ht="110" customHeight="1">
      <x:c r="A42" s="4" t="str">
        <x:v>LAND-STORE</x:v>
      </x:c>
      <x:c r="B42" s="4" t="str">
        <x:v>Persistent physical estate placement</x:v>
      </x:c>
      <x:c r="C42" s="4" t="str">
        <x:v>All realms</x:v>
      </x:c>
      <x:c r="D42" s="37" t="str">
        <x:v>Verified</x:v>
      </x:c>
      <x:c r="E42" s="38" t="n">
        <x:v>50.348</x:v>
      </x:c>
      <x:c r="F42" s="4" t="str">
        <x:v>731 core tests. Restart, overlap, hub and stale-writer checks.</x:v>
      </x:c>
      <x:c r="G42" s="4" t="str">
        <x:v>realm-layout-store-proof.json</x:v>
      </x:c>
      <x:c r="H42" s="4" t="str">
        <x:v>10,000-estate snapshot. No wallet ownership, distributed store or editor-import claim.</x:v>
      </x:c>
    </x:row>
    <x:row r="43" ht="110" customHeight="1">
      <x:c r="A43" s="4" t="str">
        <x:v>LAND-API</x:v>
      </x:c>
      <x:c r="B43" s="4" t="str">
        <x:v>Authenticated district reads after server restart</x:v>
      </x:c>
      <x:c r="C43" s="4" t="str">
        <x:v>Java host</x:v>
      </x:c>
      <x:c r="D43" s="37" t="str">
        <x:v>Verified</x:v>
      </x:c>
      <x:c r="E43" s="38" t="n">
        <x:v>170</x:v>
      </x:c>
      <x:c r="F43" s="4" t="str">
        <x:v>731 core / 805 server tests.</x:v>
      </x:c>
      <x:c r="G43" s="4" t="str">
        <x:v>realm-land-api-proof.json</x:v>
      </x:c>
      <x:c r="H43" s="4" t="str">
        <x:v>Actual JWT HTTP restart, move, quota and corruption checks. Unreal consumer integration remains pending.</x:v>
      </x:c>
    </x:row>
    <x:row r="44" ht="110" customHeight="1">
      <x:c r="A44" s="4" t="str">
        <x:v>LAB-TERRAIN</x:v>
      </x:c>
      <x:c r="B44" s="4" t="str">
        <x:v>Persistent walkable Labyrinth starter</x:v>
      </x:c>
      <x:c r="C44" s="4" t="str">
        <x:v>Labyrinth</x:v>
      </x:c>
      <x:c r="D44" s="37" t="str">
        <x:v>Verified</x:v>
      </x:c>
      <x:c r="E44" s="38" t="n">
        <x:v>196</x:v>
      </x:c>
      <x:c r="F44" s="4" t="str">
        <x:v>1,591 reactor tests. Five seed connectivity, reload and edit preservation.</x:v>
      </x:c>
      <x:c r="G44" s="4" t="str">
        <x:v>PR91 / labyrinth-terrain-proof.json</x:v>
      </x:c>
      <x:c r="H44" s="4" t="str">
        <x:v>Poot 29254: 144 native maze chunks imported and placed, entrance connected and map saved. Capsule walkthrough pending.</x:v>
      </x:c>
    </x:row>
    <x:row r="45" ht="110" customHeight="1">
      <x:c r="A45" s="4" t="str">
        <x:v>TEST-STORAGE</x:v>
      </x:c>
      <x:c r="B45" s="4" t="str">
        <x:v>Production tests isolate developer saves</x:v>
      </x:c>
      <x:c r="C45" s="4" t="str">
        <x:v>Java host</x:v>
      </x:c>
      <x:c r="D45" s="37" t="str">
        <x:v>Verified</x:v>
      </x:c>
      <x:c r="E45" s="38" t="n">
        <x:v>58.231</x:v>
      </x:c>
      <x:c r="F45" s="4" t="str">
        <x:v>14 checks across five prod-profile integration classes.</x:v>
      </x:c>
      <x:c r="G45" s="4" t="str">
        <x:v>PR92 / PROD-TEST-STORAGE-ISOLATION.md</x:v>
      </x:c>
      <x:c r="H45" s="4" t="str">
        <x:v>No ecology persistence warning in the focused run. Production settings unchanged.</x:v>
      </x:c>
    </x:row>
    <x:row r="46" ht="110" customHeight="1">
      <x:c r="A46" s="4" t="str">
        <x:v>OCE-CATALOG</x:v>
      </x:c>
      <x:c r="B46" s="4" t="str">
        <x:v>Ocean inventory definitions and theme</x:v>
      </x:c>
      <x:c r="C46" s="4" t="str">
        <x:v>Ocean</x:v>
      </x:c>
      <x:c r="D46" s="37" t="str">
        <x:v>Verified</x:v>
      </x:c>
      <x:c r="E46" s="38" t="n">
        <x:v>24.736</x:v>
      </x:c>
      <x:c r="F46" s="4" t="str">
        <x:v>Java package: six tests. Native: 48/48. Six-catalog parity and packaged JWT HTTP passed.</x:v>
      </x:c>
      <x:c r="G46" s="4" t="str">
        <x:v>PR93 / ocean-inventory-packaged-proof.json</x:v>
      </x:c>
      <x:c r="H46" s="4" t="str">
        <x:v>Seconds cover Java package only. 13 definitions; live Unreal panel pending.</x:v>
      </x:c>
    </x:row>
    <x:row r="47" ht="110" customHeight="1">
      <x:c r="A47" s="4" t="str">
        <x:v>OCE-EFFECTS</x:v>
      </x:c>
      <x:c r="B47" s="4" t="str">
        <x:v>Ocean pickups, item effects and rewards</x:v>
      </x:c>
      <x:c r="C47" s="4" t="str">
        <x:v>Ocean</x:v>
      </x:c>
      <x:c r="D47" s="39" t="str">
        <x:v>Pending</x:v>
      </x:c>
      <x:c r="E47" s="38"/>
      <x:c r="F47" s="4" t="str">
        <x:v>Inspection only. No item grants, repairs, oxygen or quest completion verified.</x:v>
      </x:c>
      <x:c r="G47" s="4" t="str">
        <x:v>OCEAN-INVENTORY.md</x:v>
      </x:c>
      <x:c r="H47" s="4" t="str">
        <x:v>Integrate existing authoritative bag and quest systems, then prove in game.</x:v>
      </x:c>
    </x:row>
    <x:row r="48" ht="110" customHeight="1">
      <x:c r="A48" s="4" t="str">
        <x:v>UE-DATA</x:v>
      </x:c>
      <x:c r="B48" s="4" t="str">
        <x:v>Shipping runtime data declarations</x:v>
      </x:c>
      <x:c r="C48" s="4" t="str">
        <x:v>Unreal package</x:v>
      </x:c>
      <x:c r="D48" s="37" t="str">
        <x:v>Verified</x:v>
      </x:c>
      <x:c r="E48" s="38" t="n">
        <x:v>3.93</x:v>
      </x:c>
      <x:c r="F48" s="4" t="str">
        <x:v>Actual UBT Shipping rule evaluation. Ten text files covered; six verifier regressions.</x:v>
      </x:c>
      <x:c r="G48" s="4" t="str">
        <x:v>PR94 / unreal-runtime-data-proof.json</x:v>
      </x:c>
      <x:c r="H48" s="4" t="str">
        <x:v>Build declarations only. Actual cooked-client data loading remains pending.</x:v>
      </x:c>
    </x:row>
    <x:row r="49" ht="110" customHeight="1">
      <x:c r="A49" s="4" t="str">
        <x:v>IMAGE-BOOT</x:v>
      </x:c>
      <x:c r="B49" s="4" t="str">
        <x:v>Real production container startup and resources</x:v>
      </x:c>
      <x:c r="C49" s="4" t="str">
        <x:v>Java container</x:v>
      </x:c>
      <x:c r="D49" s="37" t="str">
        <x:v>Verified</x:v>
      </x:c>
      <x:c r="E49" s="38" t="n">
        <x:v>9.212</x:v>
      </x:c>
      <x:c r="F49" s="4" t="str">
        <x:v>Actual Linux image build. Five catalog reads, JWT, anonymous refusal and tonic bytes.</x:v>
      </x:c>
      <x:c r="G49" s="4" t="str">
        <x:v>PR95 / CI run 38511238221</x:v>
      </x:c>
      <x:c r="H49" s="4" t="str">
        <x:v>Seconds cover startup and smoke only. Public hosting, TLS and Redis remain separate.</x:v>
      </x:c>
    </x:row>
    <x:row r="50" ht="110" customHeight="1">
      <x:c r="A50" s="4" t="str">
        <x:v>RECOVERY</x:v>
      </x:c>
      <x:c r="B50" s="4" t="str">
        <x:v>Saved worlds, blocks and claims recover</x:v>
      </x:c>
      <x:c r="C50" s="4" t="str">
        <x:v>Java container</x:v>
      </x:c>
      <x:c r="D50" s="37" t="str">
        <x:v>Verified</x:v>
      </x:c>
      <x:c r="E50" s="38" t="n">
        <x:v>22.261</x:v>
      </x:c>
      <x:c r="F50" s="4" t="str">
        <x:v>Three world identities, three saved blocks and two plot owners preserved in a different volume.</x:v>
      </x:c>
      <x:c r="G50" s="4" t="str">
        <x:v>PR98 / CI run 38511927236</x:v>
      </x:c>
      <x:c r="H50" s="4" t="str">
        <x:v>Actual backup.sh; source stopped first. Synthetic data only. Redis and live consistency unverified.</x:v>
      </x:c>
    </x:row>
    <x:row r="51" ht="110" customHeight="1">
      <x:c r="A51" s="4" t="str">
        <x:v>BACKUP-REDIS</x:v>
      </x:c>
      <x:c r="B51" s="4" t="str">
        <x:v>Concurrent live-backup consistency</x:v>
      </x:c>
      <x:c r="C51" s="4" t="str">
        <x:v>Deployment</x:v>
      </x:c>
      <x:c r="D51" s="39" t="str">
        <x:v>Pending</x:v>
      </x:c>
      <x:c r="E51" s="38"/>
      <x:c r="F51" s="4" t="str">
        <x:v>Stopped Redis recovery is now verified. Concurrent snapshots of active world and Redis services are unverified.</x:v>
      </x:c>
      <x:c r="G51" s="4" t="str">
        <x:v>REDIS-CONNECTION-RECOVERY.md</x:v>
      </x:c>
      <x:c r="H51" s="4" t="str">
        <x:v>Coordinate writer snapshots and exercise live backup consistency before production acceptance.</x:v>
      </x:c>
    </x:row>
    <x:row r="52" ht="110" customHeight="1">
      <x:c r="A52" s="4" t="str">
        <x:v>REDIS</x:v>
      </x:c>
      <x:c r="B52" s="4" t="str">
        <x:v>Configured Redis and saved state recover</x:v>
      </x:c>
      <x:c r="C52" s="4" t="str">
        <x:v>Java/Redis</x:v>
      </x:c>
      <x:c r="D52" s="37" t="str">
        <x:v>Verified</x:v>
      </x:c>
      <x:c r="E52" s="38" t="n">
        <x:v>22.243</x:v>
      </x:c>
      <x:c r="F52" s="4" t="str">
        <x:v>Private hosts on port 6388, password required. Typed leaderboard, TTL and world edit survive recovery.</x:v>
      </x:c>
      <x:c r="G52" s="4" t="str">
        <x:v>PR100 / CI run 38513003829</x:v>
      </x:c>
      <x:c r="H52" s="4" t="str">
        <x:v>Source services stopped. Authenticated recovery verified. Concurrent backup and Redis TLS transport remain open.</x:v>
      </x:c>
    </x:row>
    <x:row r="53" ht="110" customHeight="1">
      <x:c r="A53" s="4" t="str">
        <x:v>ZERO-CAST</x:v>
      </x:c>
      <x:c r="B53" s="4" t="str">
        <x:v>Six World Zero NPC exports</x:v>
      </x:c>
      <x:c r="C53" s="4" t="str">
        <x:v>Blender</x:v>
      </x:c>
      <x:c r="D53" s="37" t="str">
        <x:v>Verified</x:v>
      </x:c>
      <x:c r="E53" s="38" t="n">
        <x:v>2.94</x:v>
      </x:c>
      <x:c r="F53" s="4" t="str">
        <x:v>Six GLBs: hashes, triangles, 14 joints, four clips and exact DCS roles.</x:v>
      </x:c>
      <x:c r="G53" s="4" t="str">
        <x:v>PR118 / export-proof.json</x:v>
      </x:c>
      <x:c r="H53" s="4" t="str">
        <x:v>Headless export only. No visual QA or native binding proof.</x:v>
      </x:c>
    </x:row>
    <x:row r="54" ht="110" customHeight="1">
      <x:c r="A54" s="4" t="str">
        <x:v>PIPE-SNAPSHOT</x:v>
      </x:c>
      <x:c r="B54" s="4" t="str">
        <x:v>Verified private import snapshots</x:v>
      </x:c>
      <x:c r="C54" s="4" t="str">
        <x:v>Pipeline</x:v>
      </x:c>
      <x:c r="D54" s="37" t="str">
        <x:v>Verified</x:v>
      </x:c>
      <x:c r="E54" s="38"/>
      <x:c r="F54" s="4" t="str">
        <x:v>Nine offline seam cases. Source merged via PR108 including PR109.</x:v>
      </x:c>
      <x:c r="G54" s="4" t="str">
        <x:v>PR108 / CI 38519911657</x:v>
      </x:c>
      <x:c r="H54" s="4" t="str">
        <x:v>Live Interchange use remains unverified. Timeout retains snapshots.</x:v>
      </x:c>
    </x:row>
    <x:row r="55" ht="110" customHeight="1">
      <x:c r="A55" s="4" t="str">
        <x:v>TEAM-DOCTOR</x:v>
      </x:c>
      <x:c r="B55" s="4" t="str">
        <x:v>Doctor, bounded summary and health watch</x:v>
      </x:c>
      <x:c r="C55" s="4" t="str">
        <x:v>Team harness</x:v>
      </x:c>
      <x:c r="D55" s="37" t="str">
        <x:v>Verified</x:v>
      </x:c>
      <x:c r="E55" s="38"/>
      <x:c r="F55" s="4" t="str">
        <x:v>Five doctor groups and native watch recovery. Combined source merged to main.</x:v>
      </x:c>
      <x:c r="G55" s="4" t="str">
        <x:v>PR112 / CI 38520320809</x:v>
      </x:c>
      <x:c r="H55" s="4" t="str">
        <x:v>Source tests only. Live broker rollout and recovery hint remain separate.</x:v>
      </x:c>
    </x:row>
    <x:row r="56" ht="110" customHeight="1">
      <x:c r="A56" s="4" t="str">
        <x:v>LAND-INPUT</x:v>
      </x:c>
      <x:c r="B56" s="4" t="str">
        <x:v>Editor-land export preflight</x:v>
      </x:c>
      <x:c r="C56" s="4" t="str">
        <x:v>Registry</x:v>
      </x:c>
      <x:c r="D56" s="37" t="str">
        <x:v>Verified</x:v>
      </x:c>
      <x:c r="E56" s="38"/>
      <x:c r="F56" s="4" t="str">
        <x:v>742 lands: IDs, bounds, footprint overlap and central hub checks.</x:v>
      </x:c>
      <x:c r="G56" s="4" t="str">
        <x:v>editor-land-preflight.json</x:v>
      </x:c>
      <x:c r="H56" s="4" t="str">
        <x:v>World Zero has 8 multi-cell estates and 94 single-cell plots. No provisioning.</x:v>
      </x:c>
    </x:row>
    <x:row r="57" ht="110" customHeight="1">
      <x:c r="A57" s="4" t="str">
        <x:v>ZERO-PLAY</x:v>
      </x:c>
      <x:c r="B57" s="4" t="str">
        <x:v>World Zero NPC runtime acceptance</x:v>
      </x:c>
      <x:c r="C57" s="4" t="str">
        <x:v>Unreal</x:v>
      </x:c>
      <x:c r="D57" s="37" t="str">
        <x:v>Pending</x:v>
      </x:c>
      <x:c r="E57" s="38"/>
      <x:c r="F57" s="4" t="str">
        <x:v>Six art exports are ready for the editor owner.</x:v>
      </x:c>
      <x:c r="G57" s="4" t="str">
        <x:v>PR118 / Claude request 29483</x:v>
      </x:c>
      <x:c r="H57" s="4" t="str">
        <x:v>Import, materials, saved packages, interactions and Play proof remain pending.</x:v>
      </x:c>
    </x:row>
    <x:row r="58" ht="110" customHeight="1">
      <x:c r="A58" s="4" t="str">
        <x:v>ISLAND-POOL</x:v>
      </x:c>
      <x:c r="B58" s="4" t="str">
        <x:v>Eighteen island mesh exports</x:v>
      </x:c>
      <x:c r="C58" s="4" t="str">
        <x:v>Blender</x:v>
      </x:c>
      <x:c r="D58" s="37" t="str">
        <x:v>Verified</x:v>
      </x:c>
      <x:c r="E58" s="38"/>
      <x:c r="F58" s="4" t="str">
        <x:v>18 GLBs, 92m bounds, flat tops, manifold render and convex companion shells.</x:v>
      </x:c>
      <x:c r="G58" s="4" t="str">
        <x:v>PR140 / island-mesh-pool.json</x:v>
      </x:c>
      <x:c r="H58" s="4" t="str">
        <x:v>Native import, scale, collision and walking pending.</x:v>
      </x:c>
    </x:row>
    <x:row r="59" ht="110" customHeight="1">
      <x:c r="A59" s="4" t="str">
        <x:v>SHARD-CAST</x:v>
      </x:c>
      <x:c r="B59" s="4" t="str">
        <x:v>Six Shardstead workers</x:v>
      </x:c>
      <x:c r="C59" s="4" t="str">
        <x:v>Blender</x:v>
      </x:c>
      <x:c r="D59" s="37" t="str">
        <x:v>Verified</x:v>
      </x:c>
      <x:c r="E59" s="38"/>
      <x:c r="F59" s="4" t="str">
        <x:v>Six actual skinned GLBs with matching hashes and four named clips.</x:v>
      </x:c>
      <x:c r="G59" s="4" t="str">
        <x:v>PR139 / shardstead-workers-manifest.json</x:v>
      </x:c>
      <x:c r="H59" s="4" t="str">
        <x:v>Art prototypes; native binding and visual approval pending.</x:v>
      </x:c>
    </x:row>
    <x:row r="60" ht="110" customHeight="1">
      <x:c r="A60" s="4" t="str">
        <x:v>ISLAND-PLAY</x:v>
      </x:c>
      <x:c r="B60" s="4" t="str">
        <x:v>Island mesh runtime acceptance</x:v>
      </x:c>
      <x:c r="C60" s="4" t="str">
        <x:v>Unreal</x:v>
      </x:c>
      <x:c r="D60" s="37" t="str">
        <x:v>Pending</x:v>
      </x:c>
      <x:c r="E60" s="38"/>
      <x:c r="F60" s="4" t="str">
        <x:v>Mesh pool delivered to Claude; instance scale contract documented.</x:v>
      </x:c>
      <x:c r="G60" s="4" t="str">
        <x:v>Claude request 29882 / PR140</x:v>
      </x:c>
      <x:c r="H60" s="4" t="str">
        <x:v>Import bounds, simple collision and actual player walk required.</x:v>
      </x:c>
    </x:row>
    <x:row r="61" ht="110" customHeight="1">
      <x:c r="A61" s="4" t="str">
        <x:v>REFUGE-SAVE</x:v>
      </x:c>
      <x:c r="B61" s="4" t="str">
        <x:v>Native save and Java disk recovery</x:v>
      </x:c>
      <x:c r="C61" s="4" t="str">
        <x:v>Local host</x:v>
      </x:c>
      <x:c r="D61" s="37" t="str">
        <x:v>Verified</x:v>
      </x:c>
      <x:c r="E61" s="38"/>
      <x:c r="F61" s="4" t="str">
        <x:v>Native payload persisted, same-write replay and stale conflict observed, store reopened with exact bytes.</x:v>
      </x:c>
      <x:c r="G61" s="4" t="str">
        <x:v>PR139 / local record proof</x:v>
      </x:c>
      <x:c r="H61" s="4" t="str">
        <x:v>Local disposable store only; no deployed API or database proof.</x:v>
      </x:c>
    </x:row>
    <x:row r="62" ht="110" customHeight="1">
      <x:c r="A62" s="4" t="str">
        <x:v>REALM-CODE</x:v>
      </x:c>
      <x:c r="B62" s="4" t="str">
        <x:v>Realm source compilation</x:v>
      </x:c>
      <x:c r="C62" s="4" t="str">
        <x:v>Source</x:v>
      </x:c>
      <x:c r="D62" s="37" t="str">
        <x:v>Verified</x:v>
      </x:c>
      <x:c r="E62" s="38"/>
      <x:c r="F62" s="4" t="str">
        <x:v>Portable C++ rules and Java/Maven server reactor compilation.</x:v>
      </x:c>
      <x:c r="G62" s="4" t="str">
        <x:v>PR139 / compiler receipts</x:v>
      </x:c>
      <x:c r="H62" s="4" t="str">
        <x:v>Native UHT, UI mounting and live mechanics pending.</x:v>
      </x:c>
    </x:row>
    <x:row r="63" ht="110" customHeight="1">
      <x:c r="A63" s="4" t="str">
        <x:v>REFUGE-HOST</x:v>
      </x:c>
      <x:c r="B63" s="4" t="str">
        <x:v>Live survival persistence</x:v>
      </x:c>
      <x:c r="C63" s="4" t="str">
        <x:v>Server</x:v>
      </x:c>
      <x:c r="D63" s="37" t="str">
        <x:v>Pending</x:v>
      </x:c>
      <x:c r="E63" s="38"/>
      <x:c r="F63" s="4" t="str">
        <x:v>Host-only record API source is disabled by default.</x:v>
      </x:c>
      <x:c r="G63" s="4" t="str">
        <x:v>PR139 / RealmRecordController</x:v>
      </x:c>
      <x:c r="H63" s="4" t="str">
        <x:v>Native transport, authenticated runtime and full ecosystem transaction pending.</x:v>
      </x:c>
    </x:row>
  </x:sheetData>
  <x:conditionalFormatting sqref="D58:D63">
    <x:cfRule type="containsText" dxfId="0" priority="1" operator="containsText" text="Pending"/>
    <x:cfRule type="containsText" dxfId="1" priority="2" operator="containsText" text="Verified"/>
  </x:conditionalFormatting>
  <x:dataValidations count="4">
    <x:dataValidation type="list" sqref="D8:D22">
      <x:formula1>"Verified,Pending"</x:formula1>
    </x:dataValidation>
    <x:dataValidation type="list" sqref="D23">
      <x:formula1>"Verified,Pending"</x:formula1>
    </x:dataValidation>
    <x:dataValidation type="list" sqref="D24:D27">
      <x:formula1>"Verified,Pending"</x:formula1>
    </x:dataValidation>
    <x:dataValidation type="list" sqref="D28:D30">
      <x:formula1>"Verified,Pending"</x:formula1>
    </x:dataValidation>
  </x:dataValidations>
  <x:pageMargins left="0.7" right="0.7" top="0.75" bottom="0.75" header="0.3" footer="0.3"/>
</x:worksheet>
</file>